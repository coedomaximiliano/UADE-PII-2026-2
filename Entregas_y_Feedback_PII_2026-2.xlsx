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or alumno" sheetId="2" state="visible" r:id="rId4"/>
    <sheet name="No entregaron" sheetId="3" state="visible" r:id="rId5"/>
    <sheet name="Feedback en Teams" sheetId="4" state="visible" r:id="rId6"/>
    <sheet name="Sin feedback" sheetId="5" state="visible" r:id="rId7"/>
  </sheets>
  <definedNames>
    <definedName function="false" hidden="true" localSheetId="3" name="_xlnm._FilterDatabase" vbProcedure="false">'Feedback en Teams'!$A$1:$D$12</definedName>
    <definedName function="false" hidden="true" localSheetId="2" name="_xlnm._FilterDatabase" vbProcedure="false">'No entregaron'!$A$1:$D$31</definedName>
    <definedName function="false" hidden="true" localSheetId="1" name="_xlnm._FilterDatabase" vbProcedure="false">'Por alumno'!$A$1:$I$59</definedName>
    <definedName function="false" hidden="true" localSheetId="4" name="_xlnm._FilterDatabase" vbProcedure="false">'Sin feedback'!$A$1:$D$61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<sst xmlns="http://schemas.openxmlformats.org/spreadsheetml/2006/main" count="959" uniqueCount="132">
  <si>
    <t xml:space="preserve">Entregas y feedback por alumno — AED II (UADE, 2º cuat. 2026)</t>
  </si>
  <si>
    <t xml:space="preserve">Fuente: Teams (586794 - LUN NOCHE) y repo UADE-PII-2026-2, relevados el 26/10/2026.</t>
  </si>
  <si>
    <t xml:space="preserve">Alumnos en Teams</t>
  </si>
  <si>
    <t xml:space="preserve">No entregaron TP1 ni TP2</t>
  </si>
  <si>
    <t xml:space="preserve">Sólo les falta TP1</t>
  </si>
  <si>
    <t xml:space="preserve">Sólo les falta TP2</t>
  </si>
  <si>
    <t xml:space="preserve">Entregaron TP1 y TP2</t>
  </si>
  <si>
    <t xml:space="preserve">Devoluciones con feedback en Teams</t>
  </si>
  <si>
    <t xml:space="preserve">Entregas sin feedback (sólo repo)</t>
  </si>
  <si>
    <t xml:space="preserve">Entregas sin feedback (Teams sin revisar)</t>
  </si>
  <si>
    <t xml:space="preserve">Ojo: sólo se cargó feedback en Teams a los grupos 2 (TP1), 5 (TP1, TP2, Árboles) y 6 (TP1). Lo entregado sólo por el repo no tiene feedback en Teams.</t>
  </si>
  <si>
    <t xml:space="preserve">Alumno</t>
  </si>
  <si>
    <t xml:space="preserve">Grupo</t>
  </si>
  <si>
    <t xml:space="preserve">TP1 (12/09)</t>
  </si>
  <si>
    <t xml:space="preserve">TP2 (21/09)</t>
  </si>
  <si>
    <t xml:space="preserve">TP3 Árboles (02/11)</t>
  </si>
  <si>
    <t xml:space="preserve">Situación</t>
  </si>
  <si>
    <t xml:space="preserve">Feedback TP1</t>
  </si>
  <si>
    <t xml:space="preserve">Feedback TP2</t>
  </si>
  <si>
    <t xml:space="preserve">Feedback TP3</t>
  </si>
  <si>
    <t xml:space="preserve">Bahit Lopez, Lisandro</t>
  </si>
  <si>
    <t xml:space="preserve">?</t>
  </si>
  <si>
    <t xml:space="preserve">NO ENTREGÓ</t>
  </si>
  <si>
    <t xml:space="preserve">No vence (02/11)</t>
  </si>
  <si>
    <t xml:space="preserve">No entregó TP1 ni TP2</t>
  </si>
  <si>
    <t xml:space="preserve">—</t>
  </si>
  <si>
    <t xml:space="preserve">Balmaceda, Romina Ayelen</t>
  </si>
  <si>
    <t xml:space="preserve">Grupo 2</t>
  </si>
  <si>
    <t xml:space="preserve">Teams (grupo) + repo</t>
  </si>
  <si>
    <t xml:space="preserve">repo</t>
  </si>
  <si>
    <t xml:space="preserve">Entregó TP1 y TP2</t>
  </si>
  <si>
    <t xml:space="preserve">Devuelto en Teams: Pila y Cola con Prioridad bien; la Parte 3 no compila (Cola&lt;T&gt;, ColaEstaticaGenerica) y usa ArrayList; falta la interfaz Cola.</t>
  </si>
  <si>
    <t xml:space="preserve">Sin feedback en Teams (entregó sólo por el repo; texto redactado en Estado_TPs)</t>
  </si>
  <si>
    <t xml:space="preserve">Blazquez, Catalina Micaela</t>
  </si>
  <si>
    <t xml:space="preserve">Sin número (Fiore-Blazquez-Vergara)</t>
  </si>
  <si>
    <t xml:space="preserve">Teams (grupo)</t>
  </si>
  <si>
    <t xml:space="preserve">Sin feedback (entrega en Teams sin revisar: falta descargar)</t>
  </si>
  <si>
    <t xml:space="preserve">Cabrera, Inti Román</t>
  </si>
  <si>
    <t xml:space="preserve">Cancinos, Ivan Facundo</t>
  </si>
  <si>
    <t xml:space="preserve">Grupo 7</t>
  </si>
  <si>
    <t xml:space="preserve">Teams (propio)</t>
  </si>
  <si>
    <t xml:space="preserve">Ceresetto, Valentino</t>
  </si>
  <si>
    <t xml:space="preserve">Sin grupo (individual)</t>
  </si>
  <si>
    <t xml:space="preserve">Chavarri, Bautista</t>
  </si>
  <si>
    <t xml:space="preserve">Grupo 3</t>
  </si>
  <si>
    <t xml:space="preserve">Entregó (repo)</t>
  </si>
  <si>
    <t xml:space="preserve">Constan Langer, Maria Guadalupe</t>
  </si>
  <si>
    <t xml:space="preserve">Dias Rato, Joaquina</t>
  </si>
  <si>
    <t xml:space="preserve">Sin número (ex grupo 2)</t>
  </si>
  <si>
    <t xml:space="preserve">Diaz Visñuk, Facundo Alexis</t>
  </si>
  <si>
    <t xml:space="preserve">Grupo 1</t>
  </si>
  <si>
    <t xml:space="preserve">Falta TP2</t>
  </si>
  <si>
    <t xml:space="preserve">Esteche, Matias Valentin</t>
  </si>
  <si>
    <t xml:space="preserve">Fiore, Micaela</t>
  </si>
  <si>
    <t xml:space="preserve">Forziati Gangi, Luca Nicolas</t>
  </si>
  <si>
    <t xml:space="preserve">Galizi, Iván Franco</t>
  </si>
  <si>
    <t xml:space="preserve">Galli, Mateo Jose</t>
  </si>
  <si>
    <t xml:space="preserve">Garabano, Renzo</t>
  </si>
  <si>
    <t xml:space="preserve">Garcia, Rodrigo Gabriel</t>
  </si>
  <si>
    <t xml:space="preserve">Falta TP1</t>
  </si>
  <si>
    <t xml:space="preserve">Ghitarroni, Nazareno</t>
  </si>
  <si>
    <t xml:space="preserve">Grupo 6</t>
  </si>
  <si>
    <t xml:space="preserve">Devuelto en Teams: copy() deja vacías las colas en finalCoincide; los métodos de utilización están dentro de ColaA/ColaB; las tres carpetas no compilan juntas.</t>
  </si>
  <si>
    <t xml:space="preserve">Gonzalez, Carlos Eduardo</t>
  </si>
  <si>
    <t xml:space="preserve">Gonzalez, Joaquin</t>
  </si>
  <si>
    <t xml:space="preserve">Goñi, Danna Morena</t>
  </si>
  <si>
    <t xml:space="preserve">Guardia, Lautaro</t>
  </si>
  <si>
    <t xml:space="preserve">Gueler, Martin</t>
  </si>
  <si>
    <t xml:space="preserve">Gutiérrez Ruiz, María Valentina</t>
  </si>
  <si>
    <t xml:space="preserve">Lopez Ferreyra, Lucas</t>
  </si>
  <si>
    <t xml:space="preserve">Lopez, Ivan</t>
  </si>
  <si>
    <t xml:space="preserve">Lopez, Yair Agustin</t>
  </si>
  <si>
    <t xml:space="preserve">Madjarian, Nicolás</t>
  </si>
  <si>
    <t xml:space="preserve">Maggi, Alejo</t>
  </si>
  <si>
    <t xml:space="preserve">Teams (propio) + repo</t>
  </si>
  <si>
    <t xml:space="preserve">Mazzini, Dante</t>
  </si>
  <si>
    <t xml:space="preserve">Medina, Francisco</t>
  </si>
  <si>
    <t xml:space="preserve">Merayo, Guadalupe Camila</t>
  </si>
  <si>
    <t xml:space="preserve">Miozzi, Nicolas</t>
  </si>
  <si>
    <t xml:space="preserve">Napoli, Matias Ezequiel</t>
  </si>
  <si>
    <t xml:space="preserve">Grupo 8</t>
  </si>
  <si>
    <t xml:space="preserve">Teams sin archivo</t>
  </si>
  <si>
    <t xml:space="preserve">Ojeda Montaldi, Felipe</t>
  </si>
  <si>
    <t xml:space="preserve">Olguin, Jonatan</t>
  </si>
  <si>
    <t xml:space="preserve">Olivera, Guadalupe Catalina Yasmin</t>
  </si>
  <si>
    <t xml:space="preserve">Osorio Herrera, Diego Alberto</t>
  </si>
  <si>
    <t xml:space="preserve">Papadopulos, Ignacio Nicolas</t>
  </si>
  <si>
    <t xml:space="preserve">Persi Danniaux, Fátima</t>
  </si>
  <si>
    <t xml:space="preserve">Quintana Miño, Manuel</t>
  </si>
  <si>
    <t xml:space="preserve">Grupo 4</t>
  </si>
  <si>
    <t xml:space="preserve">Rivas, Juliana</t>
  </si>
  <si>
    <t xml:space="preserve">Rivera Cahrra, Bryan Sebastian Humberto</t>
  </si>
  <si>
    <t xml:space="preserve">Rodriguez, Brenda Vanina</t>
  </si>
  <si>
    <t xml:space="preserve">Rojas, Lautaro Patricio</t>
  </si>
  <si>
    <t xml:space="preserve">Romero, Matias</t>
  </si>
  <si>
    <t xml:space="preserve">Grupo 5</t>
  </si>
  <si>
    <t xml:space="preserve">Entregó (Teams + repo)</t>
  </si>
  <si>
    <t xml:space="preserve">Devuelto en Teams: pasarCola devuelve vacía (por eso el Main imprime "[ ]"); finalCoincide falla con k mayor al tamaño; invertirColaSinPila debería usar la cola circular.</t>
  </si>
  <si>
    <t xml:space="preserve">Devuelto en Teams: Muy buena entrega: implementaciones, medición y pruebas de casos borde.</t>
  </si>
  <si>
    <t xml:space="preserve">Devuelto en Teams: Correcta; falta probar en el main altura, contarHojas, sumaNodos y esABB.</t>
  </si>
  <si>
    <t xml:space="preserve">Rosa Velazco, Chiara</t>
  </si>
  <si>
    <t xml:space="preserve">Sanchez, Evelyn Daniela</t>
  </si>
  <si>
    <t xml:space="preserve">Stella, Pedro</t>
  </si>
  <si>
    <t xml:space="preserve">Tejada, Lautaro</t>
  </si>
  <si>
    <t xml:space="preserve">Toral, Vera</t>
  </si>
  <si>
    <t xml:space="preserve">Torres, Tomas</t>
  </si>
  <si>
    <t xml:space="preserve">Uliczki, Ignacio</t>
  </si>
  <si>
    <t xml:space="preserve">Ventola, Juan</t>
  </si>
  <si>
    <t xml:space="preserve">Vergara, Alejo Daniel</t>
  </si>
  <si>
    <t xml:space="preserve">Viggiano, Santiago</t>
  </si>
  <si>
    <t xml:space="preserve">Viñas, Bautista</t>
  </si>
  <si>
    <t xml:space="preserve">Zavala, Orlando</t>
  </si>
  <si>
    <t xml:space="preserve">Una entrega grupal cuenta para todos los integrantes. Grupo '?' = no figura en ningún integrantes.md; algunos podrían ser del grupo 4 o 5 (listas incompletas). Árboles e Integrador todavía no vencen.</t>
  </si>
  <si>
    <t xml:space="preserve">Qué le falta</t>
  </si>
  <si>
    <t xml:space="preserve">Qué sí entregó</t>
  </si>
  <si>
    <t xml:space="preserve">Entregó TP1 (Teams (propio))</t>
  </si>
  <si>
    <t xml:space="preserve">Entregó TP2 (Teams (propio))</t>
  </si>
  <si>
    <t xml:space="preserve">Entregó TP1 (Teams (grupo))</t>
  </si>
  <si>
    <t xml:space="preserve">Entregó TP1 (repo)</t>
  </si>
  <si>
    <t xml:space="preserve">TP</t>
  </si>
  <si>
    <t xml:space="preserve">Feedback devuelto</t>
  </si>
  <si>
    <t xml:space="preserve">TP1</t>
  </si>
  <si>
    <t xml:space="preserve">Pila y Cola con Prioridad bien; la Parte 3 no compila (Cola&lt;T&gt;, ColaEstaticaGenerica) y usa ArrayList; falta la interfaz Cola.</t>
  </si>
  <si>
    <t xml:space="preserve">copy() deja vacías las colas en finalCoincide; los métodos de utilización están dentro de ColaA/ColaB; las tres carpetas no compilan juntas.</t>
  </si>
  <si>
    <t xml:space="preserve">pasarCola devuelve vacía (por eso el Main imprime "[ ]"); finalCoincide falla con k mayor al tamaño; invertirColaSinPila debería usar la cola circular.</t>
  </si>
  <si>
    <t xml:space="preserve">TP2</t>
  </si>
  <si>
    <t xml:space="preserve">Muy buena entrega: implementaciones, medición y pruebas de casos borde.</t>
  </si>
  <si>
    <t xml:space="preserve">TP3 Árboles</t>
  </si>
  <si>
    <t xml:space="preserve">Correcta; falta probar en el main altura, contarHojas, sumaNodos y esABB.</t>
  </si>
  <si>
    <t xml:space="preserve">Motivo</t>
  </si>
  <si>
    <t xml:space="preserve">Sólo repo: texto listo para cargar</t>
  </si>
  <si>
    <t xml:space="preserve">Entrega en Teams sin revisar (falta descargar)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</si>
</sst>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9C5700"/>
        <sz val="9"/>
      </font>
      <fill>
        <patternFill>
          <bgColor rgb="FFFFEB9C"/>
        </patternFill>
      </fill>
    </dxf>
    <dxf>
      <font>
        <name val="Arial"/>
        <charset val="1"/>
        <family val="0"/>
        <color rgb="FF006100"/>
        <sz val="9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COUNTA('Por alumno'!A2:A59)</f>
        <v>58</v>
      </c>
    </row>
    <row r="5" customFormat="false" ht="15" hidden="false" customHeight="false" outlineLevel="0" collapsed="false">
      <c r="A5" s="3" t="s">
        <v>3</v>
      </c>
      <c r="B5" s="4" t="n">
        <f aca="false">COUNTIF('Por alumno'!F2:F59,"No entregó TP1 ni TP2")</f>
        <v>18</v>
      </c>
    </row>
    <row r="6" customFormat="false" ht="15" hidden="false" customHeight="false" outlineLevel="0" collapsed="false">
      <c r="A6" s="3" t="s">
        <v>4</v>
      </c>
      <c r="B6" s="4" t="n">
        <f aca="false">COUNTIF('Por alumno'!F2:F59,"Falta TP1")</f>
        <v>3</v>
      </c>
    </row>
    <row r="7" customFormat="false" ht="15" hidden="false" customHeight="false" outlineLevel="0" collapsed="false">
      <c r="A7" s="3" t="s">
        <v>5</v>
      </c>
      <c r="B7" s="4" t="n">
        <f aca="false">COUNTIF('Por alumno'!F2:F59,"Falta TP2")</f>
        <v>9</v>
      </c>
    </row>
    <row r="8" customFormat="false" ht="15" hidden="false" customHeight="false" outlineLevel="0" collapsed="false">
      <c r="A8" s="3" t="s">
        <v>6</v>
      </c>
      <c r="B8" s="4" t="n">
        <f aca="false">COUNTIF('Por alumno'!F2:F59,"Entregó TP1 y TP2")</f>
        <v>28</v>
      </c>
    </row>
    <row r="9" customFormat="false" ht="15" hidden="false" customHeight="false" outlineLevel="0" collapsed="false">
      <c r="A9" s="3" t="s">
        <v>7</v>
      </c>
      <c r="B9" s="4" t="n">
        <f aca="false">COUNTIF('Por alumno'!G2:I59,"Devuelto*")</f>
        <v>11</v>
      </c>
    </row>
    <row r="10" customFormat="false" ht="15" hidden="false" customHeight="false" outlineLevel="0" collapsed="false">
      <c r="A10" s="3" t="s">
        <v>8</v>
      </c>
      <c r="B10" s="4" t="n">
        <f aca="false">COUNTIF('Por alumno'!G2:I59,"Sin feedback en Teams*")</f>
        <v>17</v>
      </c>
    </row>
    <row r="11" customFormat="false" ht="15" hidden="false" customHeight="false" outlineLevel="0" collapsed="false">
      <c r="A11" s="3" t="s">
        <v>9</v>
      </c>
      <c r="B11" s="4" t="n">
        <f aca="false">COUNTIF('Por alumno'!G2:I59,"Sin feedback (entrega*")</f>
        <v>43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48"/>
    <col collapsed="false" customWidth="true" hidden="false" outlineLevel="0" max="9" min="9" style="0" width="40"/>
  </cols>
  <sheetData>
    <row r="1" customFormat="false" ht="23.85" hidden="false" customHeight="false" outlineLevel="0" collapsed="false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</row>
    <row r="2" customFormat="false" ht="15" hidden="false" customHeight="false" outlineLevel="0" collapsed="false">
      <c r="A2" s="6" t="s">
        <v>20</v>
      </c>
      <c r="B2" s="6" t="s">
        <v>21</v>
      </c>
      <c r="C2" s="6" t="s">
        <v>22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25</v>
      </c>
      <c r="I2" s="6" t="s">
        <v>25</v>
      </c>
    </row>
    <row r="3" customFormat="false" ht="32.8" hidden="false" customHeight="false" outlineLevel="0" collapsed="false">
      <c r="A3" s="6" t="s">
        <v>26</v>
      </c>
      <c r="B3" s="6" t="s">
        <v>27</v>
      </c>
      <c r="C3" s="6" t="s">
        <v>28</v>
      </c>
      <c r="D3" s="6" t="s">
        <v>29</v>
      </c>
      <c r="E3" s="6" t="s">
        <v>23</v>
      </c>
      <c r="F3" s="6" t="s">
        <v>30</v>
      </c>
      <c r="G3" s="6" t="s">
        <v>31</v>
      </c>
      <c r="H3" s="6" t="s">
        <v>32</v>
      </c>
      <c r="I3" s="6" t="s">
        <v>25</v>
      </c>
    </row>
    <row r="4" customFormat="false" ht="22.35" hidden="false" customHeight="false" outlineLevel="0" collapsed="false">
      <c r="A4" s="6" t="s">
        <v>33</v>
      </c>
      <c r="B4" s="6" t="s">
        <v>34</v>
      </c>
      <c r="C4" s="6" t="s">
        <v>35</v>
      </c>
      <c r="D4" s="6" t="s">
        <v>35</v>
      </c>
      <c r="E4" s="6" t="s">
        <v>23</v>
      </c>
      <c r="F4" s="6" t="s">
        <v>30</v>
      </c>
      <c r="G4" s="6" t="s">
        <v>36</v>
      </c>
      <c r="H4" s="6" t="s">
        <v>36</v>
      </c>
      <c r="I4" s="6" t="s">
        <v>25</v>
      </c>
    </row>
    <row r="5" customFormat="false" ht="15" hidden="false" customHeight="false" outlineLevel="0" collapsed="false">
      <c r="A5" s="6" t="s">
        <v>37</v>
      </c>
      <c r="B5" s="6" t="s">
        <v>21</v>
      </c>
      <c r="C5" s="6" t="s">
        <v>22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25</v>
      </c>
      <c r="I5" s="6" t="s">
        <v>25</v>
      </c>
    </row>
    <row r="6" customFormat="false" ht="15" hidden="false" customHeight="false" outlineLevel="0" collapsed="false">
      <c r="A6" s="6" t="s">
        <v>38</v>
      </c>
      <c r="B6" s="6" t="s">
        <v>39</v>
      </c>
      <c r="C6" s="6" t="s">
        <v>40</v>
      </c>
      <c r="D6" s="6" t="s">
        <v>35</v>
      </c>
      <c r="E6" s="6" t="s">
        <v>23</v>
      </c>
      <c r="F6" s="6" t="s">
        <v>30</v>
      </c>
      <c r="G6" s="6" t="s">
        <v>36</v>
      </c>
      <c r="H6" s="6" t="s">
        <v>36</v>
      </c>
      <c r="I6" s="6" t="s">
        <v>25</v>
      </c>
    </row>
    <row r="7" customFormat="false" ht="15" hidden="false" customHeight="false" outlineLevel="0" collapsed="false">
      <c r="A7" s="6" t="s">
        <v>41</v>
      </c>
      <c r="B7" s="6" t="s">
        <v>42</v>
      </c>
      <c r="C7" s="6" t="s">
        <v>40</v>
      </c>
      <c r="D7" s="6" t="s">
        <v>40</v>
      </c>
      <c r="E7" s="6" t="s">
        <v>23</v>
      </c>
      <c r="F7" s="6" t="s">
        <v>30</v>
      </c>
      <c r="G7" s="6" t="s">
        <v>36</v>
      </c>
      <c r="H7" s="6" t="s">
        <v>36</v>
      </c>
      <c r="I7" s="6" t="s">
        <v>25</v>
      </c>
    </row>
    <row r="8" customFormat="false" ht="22.35" hidden="false" customHeight="false" outlineLevel="0" collapsed="false">
      <c r="A8" s="6" t="s">
        <v>43</v>
      </c>
      <c r="B8" s="6" t="s">
        <v>44</v>
      </c>
      <c r="C8" s="6" t="s">
        <v>29</v>
      </c>
      <c r="D8" s="6" t="s">
        <v>29</v>
      </c>
      <c r="E8" s="6" t="s">
        <v>45</v>
      </c>
      <c r="F8" s="6" t="s">
        <v>30</v>
      </c>
      <c r="G8" s="6" t="s">
        <v>32</v>
      </c>
      <c r="H8" s="6" t="s">
        <v>32</v>
      </c>
      <c r="I8" s="6" t="s">
        <v>32</v>
      </c>
    </row>
    <row r="9" customFormat="false" ht="15" hidden="false" customHeight="false" outlineLevel="0" collapsed="false">
      <c r="A9" s="6" t="s">
        <v>46</v>
      </c>
      <c r="B9" s="6" t="s">
        <v>42</v>
      </c>
      <c r="C9" s="6" t="s">
        <v>40</v>
      </c>
      <c r="D9" s="6" t="s">
        <v>40</v>
      </c>
      <c r="E9" s="6" t="s">
        <v>23</v>
      </c>
      <c r="F9" s="6" t="s">
        <v>30</v>
      </c>
      <c r="G9" s="6" t="s">
        <v>36</v>
      </c>
      <c r="H9" s="6" t="s">
        <v>36</v>
      </c>
      <c r="I9" s="6" t="s">
        <v>25</v>
      </c>
    </row>
    <row r="10" customFormat="false" ht="15" hidden="false" customHeight="false" outlineLevel="0" collapsed="false">
      <c r="A10" s="6" t="s">
        <v>47</v>
      </c>
      <c r="B10" s="6" t="s">
        <v>48</v>
      </c>
      <c r="C10" s="6" t="s">
        <v>35</v>
      </c>
      <c r="D10" s="6" t="s">
        <v>35</v>
      </c>
      <c r="E10" s="6" t="s">
        <v>23</v>
      </c>
      <c r="F10" s="6" t="s">
        <v>30</v>
      </c>
      <c r="G10" s="6" t="s">
        <v>36</v>
      </c>
      <c r="H10" s="6" t="s">
        <v>36</v>
      </c>
      <c r="I10" s="6" t="s">
        <v>25</v>
      </c>
    </row>
    <row r="11" customFormat="false" ht="15" hidden="false" customHeight="false" outlineLevel="0" collapsed="false">
      <c r="A11" s="6" t="s">
        <v>49</v>
      </c>
      <c r="B11" s="6" t="s">
        <v>50</v>
      </c>
      <c r="C11" s="6" t="s">
        <v>40</v>
      </c>
      <c r="D11" s="6" t="s">
        <v>22</v>
      </c>
      <c r="E11" s="6" t="s">
        <v>23</v>
      </c>
      <c r="F11" s="6" t="s">
        <v>51</v>
      </c>
      <c r="G11" s="6" t="s">
        <v>36</v>
      </c>
      <c r="H11" s="6" t="s">
        <v>25</v>
      </c>
      <c r="I11" s="6" t="s">
        <v>25</v>
      </c>
    </row>
    <row r="12" customFormat="false" ht="15" hidden="false" customHeight="false" outlineLevel="0" collapsed="false">
      <c r="A12" s="6" t="s">
        <v>52</v>
      </c>
      <c r="B12" s="6" t="s">
        <v>39</v>
      </c>
      <c r="C12" s="6" t="s">
        <v>35</v>
      </c>
      <c r="D12" s="6" t="s">
        <v>35</v>
      </c>
      <c r="E12" s="6" t="s">
        <v>23</v>
      </c>
      <c r="F12" s="6" t="s">
        <v>30</v>
      </c>
      <c r="G12" s="6" t="s">
        <v>36</v>
      </c>
      <c r="H12" s="6" t="s">
        <v>36</v>
      </c>
      <c r="I12" s="6" t="s">
        <v>25</v>
      </c>
    </row>
    <row r="13" customFormat="false" ht="22.35" hidden="false" customHeight="false" outlineLevel="0" collapsed="false">
      <c r="A13" s="6" t="s">
        <v>53</v>
      </c>
      <c r="B13" s="6" t="s">
        <v>34</v>
      </c>
      <c r="C13" s="6" t="s">
        <v>35</v>
      </c>
      <c r="D13" s="6" t="s">
        <v>35</v>
      </c>
      <c r="E13" s="6" t="s">
        <v>23</v>
      </c>
      <c r="F13" s="6" t="s">
        <v>30</v>
      </c>
      <c r="G13" s="6" t="s">
        <v>36</v>
      </c>
      <c r="H13" s="6" t="s">
        <v>36</v>
      </c>
      <c r="I13" s="6" t="s">
        <v>25</v>
      </c>
    </row>
    <row r="14" customFormat="false" ht="15" hidden="false" customHeight="false" outlineLevel="0" collapsed="false">
      <c r="A14" s="6" t="s">
        <v>54</v>
      </c>
      <c r="B14" s="6" t="s">
        <v>48</v>
      </c>
      <c r="C14" s="6" t="s">
        <v>35</v>
      </c>
      <c r="D14" s="6" t="s">
        <v>35</v>
      </c>
      <c r="E14" s="6" t="s">
        <v>23</v>
      </c>
      <c r="F14" s="6" t="s">
        <v>30</v>
      </c>
      <c r="G14" s="6" t="s">
        <v>36</v>
      </c>
      <c r="H14" s="6" t="s">
        <v>36</v>
      </c>
      <c r="I14" s="6" t="s">
        <v>25</v>
      </c>
    </row>
    <row r="15" customFormat="false" ht="15" hidden="false" customHeight="false" outlineLevel="0" collapsed="false">
      <c r="A15" s="6" t="s">
        <v>55</v>
      </c>
      <c r="B15" s="6" t="s">
        <v>42</v>
      </c>
      <c r="C15" s="6" t="s">
        <v>40</v>
      </c>
      <c r="D15" s="6" t="s">
        <v>40</v>
      </c>
      <c r="E15" s="6" t="s">
        <v>23</v>
      </c>
      <c r="F15" s="6" t="s">
        <v>30</v>
      </c>
      <c r="G15" s="6" t="s">
        <v>36</v>
      </c>
      <c r="H15" s="6" t="s">
        <v>36</v>
      </c>
      <c r="I15" s="6" t="s">
        <v>25</v>
      </c>
    </row>
    <row r="16" customFormat="false" ht="32.8" hidden="false" customHeight="false" outlineLevel="0" collapsed="false">
      <c r="A16" s="6" t="s">
        <v>56</v>
      </c>
      <c r="B16" s="6" t="s">
        <v>27</v>
      </c>
      <c r="C16" s="6" t="s">
        <v>28</v>
      </c>
      <c r="D16" s="6" t="s">
        <v>29</v>
      </c>
      <c r="E16" s="6" t="s">
        <v>23</v>
      </c>
      <c r="F16" s="6" t="s">
        <v>30</v>
      </c>
      <c r="G16" s="6" t="s">
        <v>31</v>
      </c>
      <c r="H16" s="6" t="s">
        <v>32</v>
      </c>
      <c r="I16" s="6" t="s">
        <v>25</v>
      </c>
    </row>
    <row r="17" customFormat="false" ht="15" hidden="false" customHeight="false" outlineLevel="0" collapsed="false">
      <c r="A17" s="6" t="s">
        <v>57</v>
      </c>
      <c r="B17" s="6" t="s">
        <v>39</v>
      </c>
      <c r="C17" s="6" t="s">
        <v>35</v>
      </c>
      <c r="D17" s="6" t="s">
        <v>35</v>
      </c>
      <c r="E17" s="6" t="s">
        <v>23</v>
      </c>
      <c r="F17" s="6" t="s">
        <v>30</v>
      </c>
      <c r="G17" s="6" t="s">
        <v>36</v>
      </c>
      <c r="H17" s="6" t="s">
        <v>36</v>
      </c>
      <c r="I17" s="6" t="s">
        <v>25</v>
      </c>
    </row>
    <row r="18" customFormat="false" ht="15" hidden="false" customHeight="false" outlineLevel="0" collapsed="false">
      <c r="A18" s="6" t="s">
        <v>58</v>
      </c>
      <c r="B18" s="6" t="s">
        <v>42</v>
      </c>
      <c r="C18" s="6" t="s">
        <v>22</v>
      </c>
      <c r="D18" s="6" t="s">
        <v>40</v>
      </c>
      <c r="E18" s="6" t="s">
        <v>23</v>
      </c>
      <c r="F18" s="6" t="s">
        <v>59</v>
      </c>
      <c r="G18" s="6" t="s">
        <v>25</v>
      </c>
      <c r="H18" s="6" t="s">
        <v>36</v>
      </c>
      <c r="I18" s="6" t="s">
        <v>25</v>
      </c>
    </row>
    <row r="19" customFormat="false" ht="32.8" hidden="false" customHeight="false" outlineLevel="0" collapsed="false">
      <c r="A19" s="6" t="s">
        <v>60</v>
      </c>
      <c r="B19" s="6" t="s">
        <v>61</v>
      </c>
      <c r="C19" s="6" t="s">
        <v>28</v>
      </c>
      <c r="D19" s="6" t="s">
        <v>29</v>
      </c>
      <c r="E19" s="6" t="s">
        <v>23</v>
      </c>
      <c r="F19" s="6" t="s">
        <v>30</v>
      </c>
      <c r="G19" s="6" t="s">
        <v>62</v>
      </c>
      <c r="H19" s="6" t="s">
        <v>32</v>
      </c>
      <c r="I19" s="6" t="s">
        <v>25</v>
      </c>
    </row>
    <row r="20" customFormat="false" ht="15" hidden="false" customHeight="false" outlineLevel="0" collapsed="false">
      <c r="A20" s="6" t="s">
        <v>63</v>
      </c>
      <c r="B20" s="6" t="s">
        <v>50</v>
      </c>
      <c r="C20" s="6" t="s">
        <v>35</v>
      </c>
      <c r="D20" s="6" t="s">
        <v>22</v>
      </c>
      <c r="E20" s="6" t="s">
        <v>23</v>
      </c>
      <c r="F20" s="6" t="s">
        <v>51</v>
      </c>
      <c r="G20" s="6" t="s">
        <v>36</v>
      </c>
      <c r="H20" s="6" t="s">
        <v>25</v>
      </c>
      <c r="I20" s="6" t="s">
        <v>25</v>
      </c>
    </row>
    <row r="21" customFormat="false" ht="15" hidden="false" customHeight="false" outlineLevel="0" collapsed="false">
      <c r="A21" s="6" t="s">
        <v>64</v>
      </c>
      <c r="B21" s="6" t="s">
        <v>21</v>
      </c>
      <c r="C21" s="6" t="s">
        <v>22</v>
      </c>
      <c r="D21" s="6" t="s">
        <v>22</v>
      </c>
      <c r="E21" s="6" t="s">
        <v>23</v>
      </c>
      <c r="F21" s="6" t="s">
        <v>24</v>
      </c>
      <c r="G21" s="6" t="s">
        <v>25</v>
      </c>
      <c r="H21" s="6" t="s">
        <v>25</v>
      </c>
      <c r="I21" s="6" t="s">
        <v>25</v>
      </c>
    </row>
    <row r="22" customFormat="false" ht="15" hidden="false" customHeight="false" outlineLevel="0" collapsed="false">
      <c r="A22" s="6" t="s">
        <v>65</v>
      </c>
      <c r="B22" s="6" t="s">
        <v>42</v>
      </c>
      <c r="C22" s="6" t="s">
        <v>40</v>
      </c>
      <c r="D22" s="6" t="s">
        <v>22</v>
      </c>
      <c r="E22" s="6" t="s">
        <v>23</v>
      </c>
      <c r="F22" s="6" t="s">
        <v>51</v>
      </c>
      <c r="G22" s="6" t="s">
        <v>36</v>
      </c>
      <c r="H22" s="6" t="s">
        <v>25</v>
      </c>
      <c r="I22" s="6" t="s">
        <v>25</v>
      </c>
    </row>
    <row r="23" customFormat="false" ht="15" hidden="false" customHeight="false" outlineLevel="0" collapsed="false">
      <c r="A23" s="6" t="s">
        <v>66</v>
      </c>
      <c r="B23" s="6" t="s">
        <v>21</v>
      </c>
      <c r="C23" s="6" t="s">
        <v>22</v>
      </c>
      <c r="D23" s="6" t="s">
        <v>22</v>
      </c>
      <c r="E23" s="6" t="s">
        <v>23</v>
      </c>
      <c r="F23" s="6" t="s">
        <v>24</v>
      </c>
      <c r="G23" s="6" t="s">
        <v>25</v>
      </c>
      <c r="H23" s="6" t="s">
        <v>25</v>
      </c>
      <c r="I23" s="6" t="s">
        <v>25</v>
      </c>
    </row>
    <row r="24" customFormat="false" ht="15" hidden="false" customHeight="false" outlineLevel="0" collapsed="false">
      <c r="A24" s="6" t="s">
        <v>67</v>
      </c>
      <c r="B24" s="6" t="s">
        <v>21</v>
      </c>
      <c r="C24" s="6" t="s">
        <v>22</v>
      </c>
      <c r="D24" s="6" t="s">
        <v>22</v>
      </c>
      <c r="E24" s="6" t="s">
        <v>23</v>
      </c>
      <c r="F24" s="6" t="s">
        <v>24</v>
      </c>
      <c r="G24" s="6" t="s">
        <v>25</v>
      </c>
      <c r="H24" s="6" t="s">
        <v>25</v>
      </c>
      <c r="I24" s="6" t="s">
        <v>25</v>
      </c>
    </row>
    <row r="25" customFormat="false" ht="15" hidden="false" customHeight="false" outlineLevel="0" collapsed="false">
      <c r="A25" s="6" t="s">
        <v>68</v>
      </c>
      <c r="B25" s="6" t="s">
        <v>50</v>
      </c>
      <c r="C25" s="6" t="s">
        <v>35</v>
      </c>
      <c r="D25" s="6" t="s">
        <v>22</v>
      </c>
      <c r="E25" s="6" t="s">
        <v>23</v>
      </c>
      <c r="F25" s="6" t="s">
        <v>51</v>
      </c>
      <c r="G25" s="6" t="s">
        <v>36</v>
      </c>
      <c r="H25" s="6" t="s">
        <v>25</v>
      </c>
      <c r="I25" s="6" t="s">
        <v>25</v>
      </c>
    </row>
    <row r="26" customFormat="false" ht="15" hidden="false" customHeight="false" outlineLevel="0" collapsed="false">
      <c r="A26" s="6" t="s">
        <v>69</v>
      </c>
      <c r="B26" s="6" t="s">
        <v>42</v>
      </c>
      <c r="C26" s="6" t="s">
        <v>40</v>
      </c>
      <c r="D26" s="6" t="s">
        <v>22</v>
      </c>
      <c r="E26" s="6" t="s">
        <v>23</v>
      </c>
      <c r="F26" s="6" t="s">
        <v>51</v>
      </c>
      <c r="G26" s="6" t="s">
        <v>36</v>
      </c>
      <c r="H26" s="6" t="s">
        <v>25</v>
      </c>
      <c r="I26" s="6" t="s">
        <v>25</v>
      </c>
    </row>
    <row r="27" customFormat="false" ht="15" hidden="false" customHeight="false" outlineLevel="0" collapsed="false">
      <c r="A27" s="6" t="s">
        <v>70</v>
      </c>
      <c r="B27" s="6" t="s">
        <v>21</v>
      </c>
      <c r="C27" s="6" t="s">
        <v>22</v>
      </c>
      <c r="D27" s="6" t="s">
        <v>22</v>
      </c>
      <c r="E27" s="6" t="s">
        <v>23</v>
      </c>
      <c r="F27" s="6" t="s">
        <v>24</v>
      </c>
      <c r="G27" s="6" t="s">
        <v>25</v>
      </c>
      <c r="H27" s="6" t="s">
        <v>25</v>
      </c>
      <c r="I27" s="6" t="s">
        <v>25</v>
      </c>
    </row>
    <row r="28" customFormat="false" ht="15" hidden="false" customHeight="false" outlineLevel="0" collapsed="false">
      <c r="A28" s="6" t="s">
        <v>71</v>
      </c>
      <c r="B28" s="6" t="s">
        <v>39</v>
      </c>
      <c r="C28" s="6" t="s">
        <v>35</v>
      </c>
      <c r="D28" s="6" t="s">
        <v>40</v>
      </c>
      <c r="E28" s="6" t="s">
        <v>23</v>
      </c>
      <c r="F28" s="6" t="s">
        <v>30</v>
      </c>
      <c r="G28" s="6" t="s">
        <v>36</v>
      </c>
      <c r="H28" s="6" t="s">
        <v>36</v>
      </c>
      <c r="I28" s="6" t="s">
        <v>25</v>
      </c>
    </row>
    <row r="29" customFormat="false" ht="15" hidden="false" customHeight="false" outlineLevel="0" collapsed="false">
      <c r="A29" s="6" t="s">
        <v>72</v>
      </c>
      <c r="B29" s="6" t="s">
        <v>21</v>
      </c>
      <c r="C29" s="6" t="s">
        <v>22</v>
      </c>
      <c r="D29" s="6" t="s">
        <v>22</v>
      </c>
      <c r="E29" s="6" t="s">
        <v>23</v>
      </c>
      <c r="F29" s="6" t="s">
        <v>24</v>
      </c>
      <c r="G29" s="6" t="s">
        <v>25</v>
      </c>
      <c r="H29" s="6" t="s">
        <v>25</v>
      </c>
      <c r="I29" s="6" t="s">
        <v>25</v>
      </c>
    </row>
    <row r="30" customFormat="false" ht="32.8" hidden="false" customHeight="false" outlineLevel="0" collapsed="false">
      <c r="A30" s="6" t="s">
        <v>73</v>
      </c>
      <c r="B30" s="6" t="s">
        <v>27</v>
      </c>
      <c r="C30" s="6" t="s">
        <v>74</v>
      </c>
      <c r="D30" s="6" t="s">
        <v>29</v>
      </c>
      <c r="E30" s="6" t="s">
        <v>23</v>
      </c>
      <c r="F30" s="6" t="s">
        <v>30</v>
      </c>
      <c r="G30" s="6" t="s">
        <v>31</v>
      </c>
      <c r="H30" s="6" t="s">
        <v>32</v>
      </c>
      <c r="I30" s="6" t="s">
        <v>25</v>
      </c>
    </row>
    <row r="31" customFormat="false" ht="15" hidden="false" customHeight="false" outlineLevel="0" collapsed="false">
      <c r="A31" s="6" t="s">
        <v>75</v>
      </c>
      <c r="B31" s="6" t="s">
        <v>21</v>
      </c>
      <c r="C31" s="6" t="s">
        <v>22</v>
      </c>
      <c r="D31" s="6" t="s">
        <v>22</v>
      </c>
      <c r="E31" s="6" t="s">
        <v>23</v>
      </c>
      <c r="F31" s="6" t="s">
        <v>24</v>
      </c>
      <c r="G31" s="6" t="s">
        <v>25</v>
      </c>
      <c r="H31" s="6" t="s">
        <v>25</v>
      </c>
      <c r="I31" s="6" t="s">
        <v>25</v>
      </c>
    </row>
    <row r="32" customFormat="false" ht="32.8" hidden="false" customHeight="false" outlineLevel="0" collapsed="false">
      <c r="A32" s="6" t="s">
        <v>76</v>
      </c>
      <c r="B32" s="6" t="s">
        <v>27</v>
      </c>
      <c r="C32" s="6" t="s">
        <v>28</v>
      </c>
      <c r="D32" s="6" t="s">
        <v>29</v>
      </c>
      <c r="E32" s="6" t="s">
        <v>23</v>
      </c>
      <c r="F32" s="6" t="s">
        <v>30</v>
      </c>
      <c r="G32" s="6" t="s">
        <v>31</v>
      </c>
      <c r="H32" s="6" t="s">
        <v>32</v>
      </c>
      <c r="I32" s="6" t="s">
        <v>25</v>
      </c>
    </row>
    <row r="33" customFormat="false" ht="15" hidden="false" customHeight="false" outlineLevel="0" collapsed="false">
      <c r="A33" s="6" t="s">
        <v>77</v>
      </c>
      <c r="B33" s="6" t="s">
        <v>42</v>
      </c>
      <c r="C33" s="6" t="s">
        <v>40</v>
      </c>
      <c r="D33" s="6" t="s">
        <v>22</v>
      </c>
      <c r="E33" s="6" t="s">
        <v>23</v>
      </c>
      <c r="F33" s="6" t="s">
        <v>51</v>
      </c>
      <c r="G33" s="6" t="s">
        <v>36</v>
      </c>
      <c r="H33" s="6" t="s">
        <v>25</v>
      </c>
      <c r="I33" s="6" t="s">
        <v>25</v>
      </c>
    </row>
    <row r="34" customFormat="false" ht="15" hidden="false" customHeight="false" outlineLevel="0" collapsed="false">
      <c r="A34" s="6" t="s">
        <v>78</v>
      </c>
      <c r="B34" s="6" t="s">
        <v>21</v>
      </c>
      <c r="C34" s="6" t="s">
        <v>22</v>
      </c>
      <c r="D34" s="6" t="s">
        <v>22</v>
      </c>
      <c r="E34" s="6" t="s">
        <v>23</v>
      </c>
      <c r="F34" s="6" t="s">
        <v>24</v>
      </c>
      <c r="G34" s="6" t="s">
        <v>25</v>
      </c>
      <c r="H34" s="6" t="s">
        <v>25</v>
      </c>
      <c r="I34" s="6" t="s">
        <v>25</v>
      </c>
    </row>
    <row r="35" customFormat="false" ht="22.35" hidden="false" customHeight="false" outlineLevel="0" collapsed="false">
      <c r="A35" s="6" t="s">
        <v>79</v>
      </c>
      <c r="B35" s="6" t="s">
        <v>80</v>
      </c>
      <c r="C35" s="6" t="s">
        <v>29</v>
      </c>
      <c r="D35" s="6" t="s">
        <v>22</v>
      </c>
      <c r="E35" s="6" t="s">
        <v>81</v>
      </c>
      <c r="F35" s="6" t="s">
        <v>51</v>
      </c>
      <c r="G35" s="6" t="s">
        <v>32</v>
      </c>
      <c r="H35" s="6" t="s">
        <v>25</v>
      </c>
      <c r="I35" s="6" t="s">
        <v>25</v>
      </c>
    </row>
    <row r="36" customFormat="false" ht="15" hidden="false" customHeight="false" outlineLevel="0" collapsed="false">
      <c r="A36" s="6" t="s">
        <v>82</v>
      </c>
      <c r="B36" s="6" t="s">
        <v>50</v>
      </c>
      <c r="C36" s="6" t="s">
        <v>35</v>
      </c>
      <c r="D36" s="6" t="s">
        <v>22</v>
      </c>
      <c r="E36" s="6" t="s">
        <v>23</v>
      </c>
      <c r="F36" s="6" t="s">
        <v>51</v>
      </c>
      <c r="G36" s="6" t="s">
        <v>36</v>
      </c>
      <c r="H36" s="6" t="s">
        <v>25</v>
      </c>
      <c r="I36" s="6" t="s">
        <v>25</v>
      </c>
    </row>
    <row r="37" customFormat="false" ht="15" hidden="false" customHeight="false" outlineLevel="0" collapsed="false">
      <c r="A37" s="6" t="s">
        <v>83</v>
      </c>
      <c r="B37" s="6" t="s">
        <v>21</v>
      </c>
      <c r="C37" s="6" t="s">
        <v>22</v>
      </c>
      <c r="D37" s="6" t="s">
        <v>22</v>
      </c>
      <c r="E37" s="6" t="s">
        <v>23</v>
      </c>
      <c r="F37" s="6" t="s">
        <v>24</v>
      </c>
      <c r="G37" s="6" t="s">
        <v>25</v>
      </c>
      <c r="H37" s="6" t="s">
        <v>25</v>
      </c>
      <c r="I37" s="6" t="s">
        <v>25</v>
      </c>
    </row>
    <row r="38" customFormat="false" ht="15" hidden="false" customHeight="false" outlineLevel="0" collapsed="false">
      <c r="A38" s="6" t="s">
        <v>84</v>
      </c>
      <c r="B38" s="6" t="s">
        <v>21</v>
      </c>
      <c r="C38" s="6" t="s">
        <v>22</v>
      </c>
      <c r="D38" s="6" t="s">
        <v>22</v>
      </c>
      <c r="E38" s="6" t="s">
        <v>23</v>
      </c>
      <c r="F38" s="6" t="s">
        <v>24</v>
      </c>
      <c r="G38" s="6" t="s">
        <v>25</v>
      </c>
      <c r="H38" s="6" t="s">
        <v>25</v>
      </c>
      <c r="I38" s="6" t="s">
        <v>25</v>
      </c>
    </row>
    <row r="39" customFormat="false" ht="15" hidden="false" customHeight="false" outlineLevel="0" collapsed="false">
      <c r="A39" s="6" t="s">
        <v>85</v>
      </c>
      <c r="B39" s="6" t="s">
        <v>21</v>
      </c>
      <c r="C39" s="6" t="s">
        <v>22</v>
      </c>
      <c r="D39" s="6" t="s">
        <v>22</v>
      </c>
      <c r="E39" s="6" t="s">
        <v>23</v>
      </c>
      <c r="F39" s="6" t="s">
        <v>24</v>
      </c>
      <c r="G39" s="6" t="s">
        <v>25</v>
      </c>
      <c r="H39" s="6" t="s">
        <v>25</v>
      </c>
      <c r="I39" s="6" t="s">
        <v>25</v>
      </c>
    </row>
    <row r="40" customFormat="false" ht="15" hidden="false" customHeight="false" outlineLevel="0" collapsed="false">
      <c r="A40" s="6" t="s">
        <v>86</v>
      </c>
      <c r="B40" s="6" t="s">
        <v>48</v>
      </c>
      <c r="C40" s="6" t="s">
        <v>40</v>
      </c>
      <c r="D40" s="6" t="s">
        <v>40</v>
      </c>
      <c r="E40" s="6" t="s">
        <v>23</v>
      </c>
      <c r="F40" s="6" t="s">
        <v>30</v>
      </c>
      <c r="G40" s="6" t="s">
        <v>36</v>
      </c>
      <c r="H40" s="6" t="s">
        <v>36</v>
      </c>
      <c r="I40" s="6" t="s">
        <v>25</v>
      </c>
    </row>
    <row r="41" customFormat="false" ht="15" hidden="false" customHeight="false" outlineLevel="0" collapsed="false">
      <c r="A41" s="6" t="s">
        <v>87</v>
      </c>
      <c r="B41" s="6" t="s">
        <v>21</v>
      </c>
      <c r="C41" s="6" t="s">
        <v>22</v>
      </c>
      <c r="D41" s="6" t="s">
        <v>22</v>
      </c>
      <c r="E41" s="6" t="s">
        <v>23</v>
      </c>
      <c r="F41" s="6" t="s">
        <v>24</v>
      </c>
      <c r="G41" s="6" t="s">
        <v>25</v>
      </c>
      <c r="H41" s="6" t="s">
        <v>25</v>
      </c>
      <c r="I41" s="6" t="s">
        <v>25</v>
      </c>
    </row>
    <row r="42" customFormat="false" ht="22.35" hidden="false" customHeight="false" outlineLevel="0" collapsed="false">
      <c r="A42" s="6" t="s">
        <v>88</v>
      </c>
      <c r="B42" s="6" t="s">
        <v>89</v>
      </c>
      <c r="C42" s="6" t="s">
        <v>29</v>
      </c>
      <c r="D42" s="6" t="s">
        <v>29</v>
      </c>
      <c r="E42" s="6" t="s">
        <v>23</v>
      </c>
      <c r="F42" s="6" t="s">
        <v>30</v>
      </c>
      <c r="G42" s="6" t="s">
        <v>32</v>
      </c>
      <c r="H42" s="6" t="s">
        <v>32</v>
      </c>
      <c r="I42" s="6" t="s">
        <v>25</v>
      </c>
    </row>
    <row r="43" customFormat="false" ht="15" hidden="false" customHeight="false" outlineLevel="0" collapsed="false">
      <c r="A43" s="6" t="s">
        <v>90</v>
      </c>
      <c r="B43" s="6" t="s">
        <v>21</v>
      </c>
      <c r="C43" s="6" t="s">
        <v>22</v>
      </c>
      <c r="D43" s="6" t="s">
        <v>22</v>
      </c>
      <c r="E43" s="6" t="s">
        <v>23</v>
      </c>
      <c r="F43" s="6" t="s">
        <v>24</v>
      </c>
      <c r="G43" s="6" t="s">
        <v>25</v>
      </c>
      <c r="H43" s="6" t="s">
        <v>25</v>
      </c>
      <c r="I43" s="6" t="s">
        <v>25</v>
      </c>
    </row>
    <row r="44" customFormat="false" ht="22.35" hidden="false" customHeight="false" outlineLevel="0" collapsed="false">
      <c r="A44" s="6" t="s">
        <v>91</v>
      </c>
      <c r="B44" s="6" t="s">
        <v>21</v>
      </c>
      <c r="C44" s="6" t="s">
        <v>22</v>
      </c>
      <c r="D44" s="6" t="s">
        <v>22</v>
      </c>
      <c r="E44" s="6" t="s">
        <v>23</v>
      </c>
      <c r="F44" s="6" t="s">
        <v>24</v>
      </c>
      <c r="G44" s="6" t="s">
        <v>25</v>
      </c>
      <c r="H44" s="6" t="s">
        <v>25</v>
      </c>
      <c r="I44" s="6" t="s">
        <v>25</v>
      </c>
    </row>
    <row r="45" customFormat="false" ht="32.8" hidden="false" customHeight="false" outlineLevel="0" collapsed="false">
      <c r="A45" s="6" t="s">
        <v>92</v>
      </c>
      <c r="B45" s="6" t="s">
        <v>61</v>
      </c>
      <c r="C45" s="6" t="s">
        <v>74</v>
      </c>
      <c r="D45" s="6" t="s">
        <v>29</v>
      </c>
      <c r="E45" s="6" t="s">
        <v>23</v>
      </c>
      <c r="F45" s="6" t="s">
        <v>30</v>
      </c>
      <c r="G45" s="6" t="s">
        <v>62</v>
      </c>
      <c r="H45" s="6" t="s">
        <v>32</v>
      </c>
      <c r="I45" s="6" t="s">
        <v>25</v>
      </c>
    </row>
    <row r="46" customFormat="false" ht="15" hidden="false" customHeight="false" outlineLevel="0" collapsed="false">
      <c r="A46" s="6" t="s">
        <v>93</v>
      </c>
      <c r="B46" s="6" t="s">
        <v>42</v>
      </c>
      <c r="C46" s="6" t="s">
        <v>22</v>
      </c>
      <c r="D46" s="6" t="s">
        <v>40</v>
      </c>
      <c r="E46" s="6" t="s">
        <v>23</v>
      </c>
      <c r="F46" s="6" t="s">
        <v>59</v>
      </c>
      <c r="G46" s="6" t="s">
        <v>25</v>
      </c>
      <c r="H46" s="6" t="s">
        <v>36</v>
      </c>
      <c r="I46" s="6" t="s">
        <v>25</v>
      </c>
    </row>
    <row r="47" customFormat="false" ht="32.8" hidden="false" customHeight="false" outlineLevel="0" collapsed="false">
      <c r="A47" s="6" t="s">
        <v>94</v>
      </c>
      <c r="B47" s="6" t="s">
        <v>95</v>
      </c>
      <c r="C47" s="6" t="s">
        <v>74</v>
      </c>
      <c r="D47" s="6" t="s">
        <v>74</v>
      </c>
      <c r="E47" s="6" t="s">
        <v>96</v>
      </c>
      <c r="F47" s="6" t="s">
        <v>30</v>
      </c>
      <c r="G47" s="6" t="s">
        <v>97</v>
      </c>
      <c r="H47" s="6" t="s">
        <v>98</v>
      </c>
      <c r="I47" s="6" t="s">
        <v>99</v>
      </c>
    </row>
    <row r="48" customFormat="false" ht="32.8" hidden="false" customHeight="false" outlineLevel="0" collapsed="false">
      <c r="A48" s="6" t="s">
        <v>100</v>
      </c>
      <c r="B48" s="6" t="s">
        <v>61</v>
      </c>
      <c r="C48" s="6" t="s">
        <v>28</v>
      </c>
      <c r="D48" s="6" t="s">
        <v>29</v>
      </c>
      <c r="E48" s="6" t="s">
        <v>23</v>
      </c>
      <c r="F48" s="6" t="s">
        <v>30</v>
      </c>
      <c r="G48" s="6" t="s">
        <v>62</v>
      </c>
      <c r="H48" s="6" t="s">
        <v>32</v>
      </c>
      <c r="I48" s="6" t="s">
        <v>25</v>
      </c>
    </row>
    <row r="49" customFormat="false" ht="15" hidden="false" customHeight="false" outlineLevel="0" collapsed="false">
      <c r="A49" s="6" t="s">
        <v>101</v>
      </c>
      <c r="B49" s="6" t="s">
        <v>21</v>
      </c>
      <c r="C49" s="6" t="s">
        <v>22</v>
      </c>
      <c r="D49" s="6" t="s">
        <v>22</v>
      </c>
      <c r="E49" s="6" t="s">
        <v>23</v>
      </c>
      <c r="F49" s="6" t="s">
        <v>24</v>
      </c>
      <c r="G49" s="6" t="s">
        <v>25</v>
      </c>
      <c r="H49" s="6" t="s">
        <v>25</v>
      </c>
      <c r="I49" s="6" t="s">
        <v>25</v>
      </c>
    </row>
    <row r="50" customFormat="false" ht="22.35" hidden="false" customHeight="false" outlineLevel="0" collapsed="false">
      <c r="A50" s="6" t="s">
        <v>102</v>
      </c>
      <c r="B50" s="6" t="s">
        <v>44</v>
      </c>
      <c r="C50" s="6" t="s">
        <v>29</v>
      </c>
      <c r="D50" s="6" t="s">
        <v>29</v>
      </c>
      <c r="E50" s="6" t="s">
        <v>45</v>
      </c>
      <c r="F50" s="6" t="s">
        <v>30</v>
      </c>
      <c r="G50" s="6" t="s">
        <v>32</v>
      </c>
      <c r="H50" s="6" t="s">
        <v>32</v>
      </c>
      <c r="I50" s="6" t="s">
        <v>32</v>
      </c>
    </row>
    <row r="51" customFormat="false" ht="15" hidden="false" customHeight="false" outlineLevel="0" collapsed="false">
      <c r="A51" s="6" t="s">
        <v>103</v>
      </c>
      <c r="B51" s="6" t="s">
        <v>21</v>
      </c>
      <c r="C51" s="6" t="s">
        <v>22</v>
      </c>
      <c r="D51" s="6" t="s">
        <v>22</v>
      </c>
      <c r="E51" s="6" t="s">
        <v>23</v>
      </c>
      <c r="F51" s="6" t="s">
        <v>24</v>
      </c>
      <c r="G51" s="6" t="s">
        <v>25</v>
      </c>
      <c r="H51" s="6" t="s">
        <v>25</v>
      </c>
      <c r="I51" s="6" t="s">
        <v>25</v>
      </c>
    </row>
    <row r="52" customFormat="false" ht="15" hidden="false" customHeight="false" outlineLevel="0" collapsed="false">
      <c r="A52" s="6" t="s">
        <v>104</v>
      </c>
      <c r="B52" s="6" t="s">
        <v>21</v>
      </c>
      <c r="C52" s="6" t="s">
        <v>22</v>
      </c>
      <c r="D52" s="6" t="s">
        <v>22</v>
      </c>
      <c r="E52" s="6" t="s">
        <v>23</v>
      </c>
      <c r="F52" s="6" t="s">
        <v>24</v>
      </c>
      <c r="G52" s="6" t="s">
        <v>25</v>
      </c>
      <c r="H52" s="6" t="s">
        <v>25</v>
      </c>
      <c r="I52" s="6" t="s">
        <v>25</v>
      </c>
    </row>
    <row r="53" customFormat="false" ht="15" hidden="false" customHeight="false" outlineLevel="0" collapsed="false">
      <c r="A53" s="6" t="s">
        <v>105</v>
      </c>
      <c r="B53" s="6" t="s">
        <v>39</v>
      </c>
      <c r="C53" s="6" t="s">
        <v>35</v>
      </c>
      <c r="D53" s="6" t="s">
        <v>35</v>
      </c>
      <c r="E53" s="6" t="s">
        <v>23</v>
      </c>
      <c r="F53" s="6" t="s">
        <v>30</v>
      </c>
      <c r="G53" s="6" t="s">
        <v>36</v>
      </c>
      <c r="H53" s="6" t="s">
        <v>36</v>
      </c>
      <c r="I53" s="6" t="s">
        <v>25</v>
      </c>
    </row>
    <row r="54" customFormat="false" ht="15" hidden="false" customHeight="false" outlineLevel="0" collapsed="false">
      <c r="A54" s="6" t="s">
        <v>106</v>
      </c>
      <c r="B54" s="6" t="s">
        <v>48</v>
      </c>
      <c r="C54" s="6" t="s">
        <v>35</v>
      </c>
      <c r="D54" s="6" t="s">
        <v>35</v>
      </c>
      <c r="E54" s="6" t="s">
        <v>23</v>
      </c>
      <c r="F54" s="6" t="s">
        <v>30</v>
      </c>
      <c r="G54" s="6" t="s">
        <v>36</v>
      </c>
      <c r="H54" s="6" t="s">
        <v>36</v>
      </c>
      <c r="I54" s="6" t="s">
        <v>25</v>
      </c>
    </row>
    <row r="55" customFormat="false" ht="32.8" hidden="false" customHeight="false" outlineLevel="0" collapsed="false">
      <c r="A55" s="6" t="s">
        <v>107</v>
      </c>
      <c r="B55" s="6" t="s">
        <v>27</v>
      </c>
      <c r="C55" s="6" t="s">
        <v>28</v>
      </c>
      <c r="D55" s="6" t="s">
        <v>29</v>
      </c>
      <c r="E55" s="6" t="s">
        <v>23</v>
      </c>
      <c r="F55" s="6" t="s">
        <v>30</v>
      </c>
      <c r="G55" s="6" t="s">
        <v>31</v>
      </c>
      <c r="H55" s="6" t="s">
        <v>32</v>
      </c>
      <c r="I55" s="6" t="s">
        <v>25</v>
      </c>
    </row>
    <row r="56" customFormat="false" ht="22.35" hidden="false" customHeight="false" outlineLevel="0" collapsed="false">
      <c r="A56" s="6" t="s">
        <v>108</v>
      </c>
      <c r="B56" s="6" t="s">
        <v>34</v>
      </c>
      <c r="C56" s="6" t="s">
        <v>40</v>
      </c>
      <c r="D56" s="6" t="s">
        <v>40</v>
      </c>
      <c r="E56" s="6" t="s">
        <v>23</v>
      </c>
      <c r="F56" s="6" t="s">
        <v>30</v>
      </c>
      <c r="G56" s="6" t="s">
        <v>36</v>
      </c>
      <c r="H56" s="6" t="s">
        <v>36</v>
      </c>
      <c r="I56" s="6" t="s">
        <v>25</v>
      </c>
    </row>
    <row r="57" customFormat="false" ht="15" hidden="false" customHeight="false" outlineLevel="0" collapsed="false">
      <c r="A57" s="6" t="s">
        <v>109</v>
      </c>
      <c r="B57" s="6" t="s">
        <v>42</v>
      </c>
      <c r="C57" s="6" t="s">
        <v>40</v>
      </c>
      <c r="D57" s="6" t="s">
        <v>40</v>
      </c>
      <c r="E57" s="6" t="s">
        <v>23</v>
      </c>
      <c r="F57" s="6" t="s">
        <v>30</v>
      </c>
      <c r="G57" s="6" t="s">
        <v>36</v>
      </c>
      <c r="H57" s="6" t="s">
        <v>36</v>
      </c>
      <c r="I57" s="6" t="s">
        <v>25</v>
      </c>
    </row>
    <row r="58" customFormat="false" ht="15" hidden="false" customHeight="false" outlineLevel="0" collapsed="false">
      <c r="A58" s="6" t="s">
        <v>110</v>
      </c>
      <c r="B58" s="6" t="s">
        <v>50</v>
      </c>
      <c r="C58" s="6" t="s">
        <v>40</v>
      </c>
      <c r="D58" s="6" t="s">
        <v>22</v>
      </c>
      <c r="E58" s="6" t="s">
        <v>23</v>
      </c>
      <c r="F58" s="6" t="s">
        <v>51</v>
      </c>
      <c r="G58" s="6" t="s">
        <v>36</v>
      </c>
      <c r="H58" s="6" t="s">
        <v>25</v>
      </c>
      <c r="I58" s="6" t="s">
        <v>25</v>
      </c>
    </row>
    <row r="59" customFormat="false" ht="15" hidden="false" customHeight="false" outlineLevel="0" collapsed="false">
      <c r="A59" s="6" t="s">
        <v>111</v>
      </c>
      <c r="B59" s="6" t="s">
        <v>42</v>
      </c>
      <c r="C59" s="6" t="s">
        <v>22</v>
      </c>
      <c r="D59" s="6" t="s">
        <v>40</v>
      </c>
      <c r="E59" s="6" t="s">
        <v>23</v>
      </c>
      <c r="F59" s="6" t="s">
        <v>59</v>
      </c>
      <c r="G59" s="6" t="s">
        <v>25</v>
      </c>
      <c r="H59" s="6" t="s">
        <v>36</v>
      </c>
      <c r="I59" s="6" t="s">
        <v>25</v>
      </c>
    </row>
    <row r="61" customFormat="false" ht="15" hidden="false" customHeight="false" outlineLevel="0" collapsed="false">
      <c r="A61" s="2" t="s">
        <v>112</v>
      </c>
    </row>
  </sheetData>
  <autoFilter ref="A1:I59"/>
  <conditionalFormatting sqref="C2:D59">
    <cfRule type="expression" priority="2" aboveAverage="0" equalAverage="0" bottom="0" percent="0" rank="0" text="" dxfId="9">
      <formula>C2="NO ENTREGÓ"</formula>
    </cfRule>
  </conditionalFormatting>
  <conditionalFormatting sqref="F2:F59">
    <cfRule type="expression" priority="3" aboveAverage="0" equalAverage="0" bottom="0" percent="0" rank="0" text="" dxfId="9">
      <formula>LEFT(F2,8)="No entre"</formula>
    </cfRule>
    <cfRule type="expression" priority="4" aboveAverage="0" equalAverage="0" bottom="0" percent="0" rank="0" text="" dxfId="10">
      <formula>LEFT(F2,5)="Falta"</formula>
    </cfRule>
  </conditionalFormatting>
  <conditionalFormatting sqref="G2:I59">
    <cfRule type="expression" priority="5" aboveAverage="0" equalAverage="0" bottom="0" percent="0" rank="0" text="" dxfId="11">
      <formula>LEFT(G2,8)="Devuelto"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5" t="s">
        <v>11</v>
      </c>
      <c r="B1" s="5" t="s">
        <v>12</v>
      </c>
      <c r="C1" s="5" t="s">
        <v>113</v>
      </c>
      <c r="D1" s="5" t="s">
        <v>114</v>
      </c>
    </row>
    <row r="2" customFormat="false" ht="15" hidden="false" customHeight="false" outlineLevel="0" collapsed="false">
      <c r="A2" s="6" t="s">
        <v>20</v>
      </c>
      <c r="B2" s="6" t="s">
        <v>21</v>
      </c>
      <c r="C2" s="6" t="s">
        <v>24</v>
      </c>
      <c r="D2" s="6" t="s">
        <v>25</v>
      </c>
    </row>
    <row r="3" customFormat="false" ht="15" hidden="false" customHeight="false" outlineLevel="0" collapsed="false">
      <c r="A3" s="6" t="s">
        <v>37</v>
      </c>
      <c r="B3" s="6" t="s">
        <v>21</v>
      </c>
      <c r="C3" s="6" t="s">
        <v>24</v>
      </c>
      <c r="D3" s="6" t="s">
        <v>25</v>
      </c>
    </row>
    <row r="4" customFormat="false" ht="15" hidden="false" customHeight="false" outlineLevel="0" collapsed="false">
      <c r="A4" s="6" t="s">
        <v>49</v>
      </c>
      <c r="B4" s="6" t="s">
        <v>50</v>
      </c>
      <c r="C4" s="6" t="s">
        <v>51</v>
      </c>
      <c r="D4" s="6" t="s">
        <v>115</v>
      </c>
    </row>
    <row r="5" customFormat="false" ht="15" hidden="false" customHeight="false" outlineLevel="0" collapsed="false">
      <c r="A5" s="6" t="s">
        <v>58</v>
      </c>
      <c r="B5" s="6" t="s">
        <v>42</v>
      </c>
      <c r="C5" s="6" t="s">
        <v>59</v>
      </c>
      <c r="D5" s="6" t="s">
        <v>116</v>
      </c>
    </row>
    <row r="6" customFormat="false" ht="15" hidden="false" customHeight="false" outlineLevel="0" collapsed="false">
      <c r="A6" s="6" t="s">
        <v>63</v>
      </c>
      <c r="B6" s="6" t="s">
        <v>50</v>
      </c>
      <c r="C6" s="6" t="s">
        <v>51</v>
      </c>
      <c r="D6" s="6" t="s">
        <v>117</v>
      </c>
    </row>
    <row r="7" customFormat="false" ht="15" hidden="false" customHeight="false" outlineLevel="0" collapsed="false">
      <c r="A7" s="6" t="s">
        <v>64</v>
      </c>
      <c r="B7" s="6" t="s">
        <v>21</v>
      </c>
      <c r="C7" s="6" t="s">
        <v>24</v>
      </c>
      <c r="D7" s="6" t="s">
        <v>25</v>
      </c>
    </row>
    <row r="8" customFormat="false" ht="15" hidden="false" customHeight="false" outlineLevel="0" collapsed="false">
      <c r="A8" s="6" t="s">
        <v>65</v>
      </c>
      <c r="B8" s="6" t="s">
        <v>42</v>
      </c>
      <c r="C8" s="6" t="s">
        <v>51</v>
      </c>
      <c r="D8" s="6" t="s">
        <v>115</v>
      </c>
    </row>
    <row r="9" customFormat="false" ht="15" hidden="false" customHeight="false" outlineLevel="0" collapsed="false">
      <c r="A9" s="6" t="s">
        <v>66</v>
      </c>
      <c r="B9" s="6" t="s">
        <v>21</v>
      </c>
      <c r="C9" s="6" t="s">
        <v>24</v>
      </c>
      <c r="D9" s="6" t="s">
        <v>25</v>
      </c>
    </row>
    <row r="10" customFormat="false" ht="15" hidden="false" customHeight="false" outlineLevel="0" collapsed="false">
      <c r="A10" s="6" t="s">
        <v>67</v>
      </c>
      <c r="B10" s="6" t="s">
        <v>21</v>
      </c>
      <c r="C10" s="6" t="s">
        <v>24</v>
      </c>
      <c r="D10" s="6" t="s">
        <v>25</v>
      </c>
    </row>
    <row r="11" customFormat="false" ht="15" hidden="false" customHeight="false" outlineLevel="0" collapsed="false">
      <c r="A11" s="6" t="s">
        <v>68</v>
      </c>
      <c r="B11" s="6" t="s">
        <v>50</v>
      </c>
      <c r="C11" s="6" t="s">
        <v>51</v>
      </c>
      <c r="D11" s="6" t="s">
        <v>117</v>
      </c>
    </row>
    <row r="12" customFormat="false" ht="15" hidden="false" customHeight="false" outlineLevel="0" collapsed="false">
      <c r="A12" s="6" t="s">
        <v>69</v>
      </c>
      <c r="B12" s="6" t="s">
        <v>42</v>
      </c>
      <c r="C12" s="6" t="s">
        <v>51</v>
      </c>
      <c r="D12" s="6" t="s">
        <v>115</v>
      </c>
    </row>
    <row r="13" customFormat="false" ht="15" hidden="false" customHeight="false" outlineLevel="0" collapsed="false">
      <c r="A13" s="6" t="s">
        <v>70</v>
      </c>
      <c r="B13" s="6" t="s">
        <v>21</v>
      </c>
      <c r="C13" s="6" t="s">
        <v>24</v>
      </c>
      <c r="D13" s="6" t="s">
        <v>25</v>
      </c>
    </row>
    <row r="14" customFormat="false" ht="15" hidden="false" customHeight="false" outlineLevel="0" collapsed="false">
      <c r="A14" s="6" t="s">
        <v>72</v>
      </c>
      <c r="B14" s="6" t="s">
        <v>21</v>
      </c>
      <c r="C14" s="6" t="s">
        <v>24</v>
      </c>
      <c r="D14" s="6" t="s">
        <v>25</v>
      </c>
    </row>
    <row r="15" customFormat="false" ht="15" hidden="false" customHeight="false" outlineLevel="0" collapsed="false">
      <c r="A15" s="6" t="s">
        <v>75</v>
      </c>
      <c r="B15" s="6" t="s">
        <v>21</v>
      </c>
      <c r="C15" s="6" t="s">
        <v>24</v>
      </c>
      <c r="D15" s="6" t="s">
        <v>25</v>
      </c>
    </row>
    <row r="16" customFormat="false" ht="15" hidden="false" customHeight="false" outlineLevel="0" collapsed="false">
      <c r="A16" s="6" t="s">
        <v>77</v>
      </c>
      <c r="B16" s="6" t="s">
        <v>42</v>
      </c>
      <c r="C16" s="6" t="s">
        <v>51</v>
      </c>
      <c r="D16" s="6" t="s">
        <v>115</v>
      </c>
    </row>
    <row r="17" customFormat="false" ht="15" hidden="false" customHeight="false" outlineLevel="0" collapsed="false">
      <c r="A17" s="6" t="s">
        <v>78</v>
      </c>
      <c r="B17" s="6" t="s">
        <v>21</v>
      </c>
      <c r="C17" s="6" t="s">
        <v>24</v>
      </c>
      <c r="D17" s="6" t="s">
        <v>25</v>
      </c>
    </row>
    <row r="18" customFormat="false" ht="15" hidden="false" customHeight="false" outlineLevel="0" collapsed="false">
      <c r="A18" s="6" t="s">
        <v>79</v>
      </c>
      <c r="B18" s="6" t="s">
        <v>80</v>
      </c>
      <c r="C18" s="6" t="s">
        <v>51</v>
      </c>
      <c r="D18" s="6" t="s">
        <v>118</v>
      </c>
    </row>
    <row r="19" customFormat="false" ht="15" hidden="false" customHeight="false" outlineLevel="0" collapsed="false">
      <c r="A19" s="6" t="s">
        <v>82</v>
      </c>
      <c r="B19" s="6" t="s">
        <v>50</v>
      </c>
      <c r="C19" s="6" t="s">
        <v>51</v>
      </c>
      <c r="D19" s="6" t="s">
        <v>117</v>
      </c>
    </row>
    <row r="20" customFormat="false" ht="15" hidden="false" customHeight="false" outlineLevel="0" collapsed="false">
      <c r="A20" s="6" t="s">
        <v>83</v>
      </c>
      <c r="B20" s="6" t="s">
        <v>21</v>
      </c>
      <c r="C20" s="6" t="s">
        <v>24</v>
      </c>
      <c r="D20" s="6" t="s">
        <v>25</v>
      </c>
    </row>
    <row r="21" customFormat="false" ht="15" hidden="false" customHeight="false" outlineLevel="0" collapsed="false">
      <c r="A21" s="6" t="s">
        <v>84</v>
      </c>
      <c r="B21" s="6" t="s">
        <v>21</v>
      </c>
      <c r="C21" s="6" t="s">
        <v>24</v>
      </c>
      <c r="D21" s="6" t="s">
        <v>25</v>
      </c>
    </row>
    <row r="22" customFormat="false" ht="15" hidden="false" customHeight="false" outlineLevel="0" collapsed="false">
      <c r="A22" s="6" t="s">
        <v>85</v>
      </c>
      <c r="B22" s="6" t="s">
        <v>21</v>
      </c>
      <c r="C22" s="6" t="s">
        <v>24</v>
      </c>
      <c r="D22" s="6" t="s">
        <v>25</v>
      </c>
    </row>
    <row r="23" customFormat="false" ht="15" hidden="false" customHeight="false" outlineLevel="0" collapsed="false">
      <c r="A23" s="6" t="s">
        <v>87</v>
      </c>
      <c r="B23" s="6" t="s">
        <v>21</v>
      </c>
      <c r="C23" s="6" t="s">
        <v>24</v>
      </c>
      <c r="D23" s="6" t="s">
        <v>25</v>
      </c>
    </row>
    <row r="24" customFormat="false" ht="15" hidden="false" customHeight="false" outlineLevel="0" collapsed="false">
      <c r="A24" s="6" t="s">
        <v>90</v>
      </c>
      <c r="B24" s="6" t="s">
        <v>21</v>
      </c>
      <c r="C24" s="6" t="s">
        <v>24</v>
      </c>
      <c r="D24" s="6" t="s">
        <v>25</v>
      </c>
    </row>
    <row r="25" customFormat="false" ht="15" hidden="false" customHeight="false" outlineLevel="0" collapsed="false">
      <c r="A25" s="6" t="s">
        <v>91</v>
      </c>
      <c r="B25" s="6" t="s">
        <v>21</v>
      </c>
      <c r="C25" s="6" t="s">
        <v>24</v>
      </c>
      <c r="D25" s="6" t="s">
        <v>25</v>
      </c>
    </row>
    <row r="26" customFormat="false" ht="15" hidden="false" customHeight="false" outlineLevel="0" collapsed="false">
      <c r="A26" s="6" t="s">
        <v>93</v>
      </c>
      <c r="B26" s="6" t="s">
        <v>42</v>
      </c>
      <c r="C26" s="6" t="s">
        <v>59</v>
      </c>
      <c r="D26" s="6" t="s">
        <v>116</v>
      </c>
    </row>
    <row r="27" customFormat="false" ht="15" hidden="false" customHeight="false" outlineLevel="0" collapsed="false">
      <c r="A27" s="6" t="s">
        <v>101</v>
      </c>
      <c r="B27" s="6" t="s">
        <v>21</v>
      </c>
      <c r="C27" s="6" t="s">
        <v>24</v>
      </c>
      <c r="D27" s="6" t="s">
        <v>25</v>
      </c>
    </row>
    <row r="28" customFormat="false" ht="15" hidden="false" customHeight="false" outlineLevel="0" collapsed="false">
      <c r="A28" s="6" t="s">
        <v>103</v>
      </c>
      <c r="B28" s="6" t="s">
        <v>21</v>
      </c>
      <c r="C28" s="6" t="s">
        <v>24</v>
      </c>
      <c r="D28" s="6" t="s">
        <v>25</v>
      </c>
    </row>
    <row r="29" customFormat="false" ht="15" hidden="false" customHeight="false" outlineLevel="0" collapsed="false">
      <c r="A29" s="6" t="s">
        <v>104</v>
      </c>
      <c r="B29" s="6" t="s">
        <v>21</v>
      </c>
      <c r="C29" s="6" t="s">
        <v>24</v>
      </c>
      <c r="D29" s="6" t="s">
        <v>25</v>
      </c>
    </row>
    <row r="30" customFormat="false" ht="15" hidden="false" customHeight="false" outlineLevel="0" collapsed="false">
      <c r="A30" s="6" t="s">
        <v>110</v>
      </c>
      <c r="B30" s="6" t="s">
        <v>50</v>
      </c>
      <c r="C30" s="6" t="s">
        <v>51</v>
      </c>
      <c r="D30" s="6" t="s">
        <v>115</v>
      </c>
    </row>
    <row r="31" customFormat="false" ht="15" hidden="false" customHeight="false" outlineLevel="0" collapsed="false">
      <c r="A31" s="6" t="s">
        <v>111</v>
      </c>
      <c r="B31" s="6" t="s">
        <v>42</v>
      </c>
      <c r="C31" s="6" t="s">
        <v>59</v>
      </c>
      <c r="D31" s="6" t="s">
        <v>116</v>
      </c>
    </row>
  </sheetData>
  <autoFilter ref="A1:D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5" t="s">
        <v>11</v>
      </c>
      <c r="B1" s="5" t="s">
        <v>12</v>
      </c>
      <c r="C1" s="5" t="s">
        <v>119</v>
      </c>
      <c r="D1" s="5" t="s">
        <v>120</v>
      </c>
    </row>
    <row r="2" customFormat="false" ht="22.35" hidden="false" customHeight="false" outlineLevel="0" collapsed="false">
      <c r="A2" s="6" t="s">
        <v>26</v>
      </c>
      <c r="B2" s="6" t="s">
        <v>27</v>
      </c>
      <c r="C2" s="6" t="s">
        <v>121</v>
      </c>
      <c r="D2" s="6" t="s">
        <v>122</v>
      </c>
    </row>
    <row r="3" customFormat="false" ht="22.35" hidden="false" customHeight="false" outlineLevel="0" collapsed="false">
      <c r="A3" s="6" t="s">
        <v>56</v>
      </c>
      <c r="B3" s="6" t="s">
        <v>27</v>
      </c>
      <c r="C3" s="6" t="s">
        <v>121</v>
      </c>
      <c r="D3" s="6" t="s">
        <v>122</v>
      </c>
    </row>
    <row r="4" customFormat="false" ht="22.35" hidden="false" customHeight="false" outlineLevel="0" collapsed="false">
      <c r="A4" s="6" t="s">
        <v>60</v>
      </c>
      <c r="B4" s="6" t="s">
        <v>61</v>
      </c>
      <c r="C4" s="6" t="s">
        <v>121</v>
      </c>
      <c r="D4" s="6" t="s">
        <v>123</v>
      </c>
    </row>
    <row r="5" customFormat="false" ht="22.35" hidden="false" customHeight="false" outlineLevel="0" collapsed="false">
      <c r="A5" s="6" t="s">
        <v>73</v>
      </c>
      <c r="B5" s="6" t="s">
        <v>27</v>
      </c>
      <c r="C5" s="6" t="s">
        <v>121</v>
      </c>
      <c r="D5" s="6" t="s">
        <v>122</v>
      </c>
    </row>
    <row r="6" customFormat="false" ht="22.35" hidden="false" customHeight="false" outlineLevel="0" collapsed="false">
      <c r="A6" s="6" t="s">
        <v>76</v>
      </c>
      <c r="B6" s="6" t="s">
        <v>27</v>
      </c>
      <c r="C6" s="6" t="s">
        <v>121</v>
      </c>
      <c r="D6" s="6" t="s">
        <v>122</v>
      </c>
    </row>
    <row r="7" customFormat="false" ht="22.35" hidden="false" customHeight="false" outlineLevel="0" collapsed="false">
      <c r="A7" s="6" t="s">
        <v>92</v>
      </c>
      <c r="B7" s="6" t="s">
        <v>61</v>
      </c>
      <c r="C7" s="6" t="s">
        <v>121</v>
      </c>
      <c r="D7" s="6" t="s">
        <v>123</v>
      </c>
    </row>
    <row r="8" customFormat="false" ht="22.35" hidden="false" customHeight="false" outlineLevel="0" collapsed="false">
      <c r="A8" s="6" t="s">
        <v>94</v>
      </c>
      <c r="B8" s="6" t="s">
        <v>95</v>
      </c>
      <c r="C8" s="6" t="s">
        <v>121</v>
      </c>
      <c r="D8" s="6" t="s">
        <v>124</v>
      </c>
    </row>
    <row r="9" customFormat="false" ht="15" hidden="false" customHeight="false" outlineLevel="0" collapsed="false">
      <c r="A9" s="6" t="s">
        <v>94</v>
      </c>
      <c r="B9" s="6" t="s">
        <v>95</v>
      </c>
      <c r="C9" s="6" t="s">
        <v>125</v>
      </c>
      <c r="D9" s="6" t="s">
        <v>126</v>
      </c>
    </row>
    <row r="10" customFormat="false" ht="15" hidden="false" customHeight="false" outlineLevel="0" collapsed="false">
      <c r="A10" s="6" t="s">
        <v>94</v>
      </c>
      <c r="B10" s="6" t="s">
        <v>95</v>
      </c>
      <c r="C10" s="6" t="s">
        <v>127</v>
      </c>
      <c r="D10" s="6" t="s">
        <v>128</v>
      </c>
    </row>
    <row r="11" customFormat="false" ht="22.35" hidden="false" customHeight="false" outlineLevel="0" collapsed="false">
      <c r="A11" s="6" t="s">
        <v>100</v>
      </c>
      <c r="B11" s="6" t="s">
        <v>61</v>
      </c>
      <c r="C11" s="6" t="s">
        <v>121</v>
      </c>
      <c r="D11" s="6" t="s">
        <v>123</v>
      </c>
    </row>
    <row r="12" customFormat="false" ht="22.35" hidden="false" customHeight="false" outlineLevel="0" collapsed="false">
      <c r="A12" s="6" t="s">
        <v>107</v>
      </c>
      <c r="B12" s="6" t="s">
        <v>27</v>
      </c>
      <c r="C12" s="6" t="s">
        <v>121</v>
      </c>
      <c r="D12" s="6" t="s">
        <v>122</v>
      </c>
    </row>
  </sheetData>
  <autoFilter ref="A1:D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4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5" t="s">
        <v>11</v>
      </c>
      <c r="B1" s="5" t="s">
        <v>12</v>
      </c>
      <c r="C1" s="5" t="s">
        <v>119</v>
      </c>
      <c r="D1" s="5" t="s">
        <v>129</v>
      </c>
    </row>
    <row r="2" customFormat="false" ht="15" hidden="false" customHeight="false" outlineLevel="0" collapsed="false">
      <c r="A2" s="6" t="s">
        <v>26</v>
      </c>
      <c r="B2" s="6" t="s">
        <v>27</v>
      </c>
      <c r="C2" s="6" t="s">
        <v>125</v>
      </c>
      <c r="D2" s="6" t="s">
        <v>130</v>
      </c>
    </row>
    <row r="3" customFormat="false" ht="15" hidden="false" customHeight="false" outlineLevel="0" collapsed="false">
      <c r="A3" s="6" t="s">
        <v>33</v>
      </c>
      <c r="B3" s="6" t="s">
        <v>34</v>
      </c>
      <c r="C3" s="6" t="s">
        <v>121</v>
      </c>
      <c r="D3" s="6" t="s">
        <v>131</v>
      </c>
    </row>
    <row r="4" customFormat="false" ht="15" hidden="false" customHeight="false" outlineLevel="0" collapsed="false">
      <c r="A4" s="6" t="s">
        <v>33</v>
      </c>
      <c r="B4" s="6" t="s">
        <v>34</v>
      </c>
      <c r="C4" s="6" t="s">
        <v>125</v>
      </c>
      <c r="D4" s="6" t="s">
        <v>131</v>
      </c>
    </row>
    <row r="5" customFormat="false" ht="15" hidden="false" customHeight="false" outlineLevel="0" collapsed="false">
      <c r="A5" s="6" t="s">
        <v>38</v>
      </c>
      <c r="B5" s="6" t="s">
        <v>39</v>
      </c>
      <c r="C5" s="6" t="s">
        <v>121</v>
      </c>
      <c r="D5" s="6" t="s">
        <v>131</v>
      </c>
    </row>
    <row r="6" customFormat="false" ht="15" hidden="false" customHeight="false" outlineLevel="0" collapsed="false">
      <c r="A6" s="6" t="s">
        <v>38</v>
      </c>
      <c r="B6" s="6" t="s">
        <v>39</v>
      </c>
      <c r="C6" s="6" t="s">
        <v>125</v>
      </c>
      <c r="D6" s="6" t="s">
        <v>131</v>
      </c>
    </row>
    <row r="7" customFormat="false" ht="15" hidden="false" customHeight="false" outlineLevel="0" collapsed="false">
      <c r="A7" s="6" t="s">
        <v>41</v>
      </c>
      <c r="B7" s="6" t="s">
        <v>42</v>
      </c>
      <c r="C7" s="6" t="s">
        <v>121</v>
      </c>
      <c r="D7" s="6" t="s">
        <v>131</v>
      </c>
    </row>
    <row r="8" customFormat="false" ht="15" hidden="false" customHeight="false" outlineLevel="0" collapsed="false">
      <c r="A8" s="6" t="s">
        <v>41</v>
      </c>
      <c r="B8" s="6" t="s">
        <v>42</v>
      </c>
      <c r="C8" s="6" t="s">
        <v>125</v>
      </c>
      <c r="D8" s="6" t="s">
        <v>131</v>
      </c>
    </row>
    <row r="9" customFormat="false" ht="15" hidden="false" customHeight="false" outlineLevel="0" collapsed="false">
      <c r="A9" s="6" t="s">
        <v>43</v>
      </c>
      <c r="B9" s="6" t="s">
        <v>44</v>
      </c>
      <c r="C9" s="6" t="s">
        <v>121</v>
      </c>
      <c r="D9" s="6" t="s">
        <v>130</v>
      </c>
    </row>
    <row r="10" customFormat="false" ht="15" hidden="false" customHeight="false" outlineLevel="0" collapsed="false">
      <c r="A10" s="6" t="s">
        <v>43</v>
      </c>
      <c r="B10" s="6" t="s">
        <v>44</v>
      </c>
      <c r="C10" s="6" t="s">
        <v>125</v>
      </c>
      <c r="D10" s="6" t="s">
        <v>130</v>
      </c>
    </row>
    <row r="11" customFormat="false" ht="15" hidden="false" customHeight="false" outlineLevel="0" collapsed="false">
      <c r="A11" s="6" t="s">
        <v>43</v>
      </c>
      <c r="B11" s="6" t="s">
        <v>44</v>
      </c>
      <c r="C11" s="6" t="s">
        <v>127</v>
      </c>
      <c r="D11" s="6" t="s">
        <v>130</v>
      </c>
    </row>
    <row r="12" customFormat="false" ht="15" hidden="false" customHeight="false" outlineLevel="0" collapsed="false">
      <c r="A12" s="6" t="s">
        <v>46</v>
      </c>
      <c r="B12" s="6" t="s">
        <v>42</v>
      </c>
      <c r="C12" s="6" t="s">
        <v>121</v>
      </c>
      <c r="D12" s="6" t="s">
        <v>131</v>
      </c>
    </row>
    <row r="13" customFormat="false" ht="15" hidden="false" customHeight="false" outlineLevel="0" collapsed="false">
      <c r="A13" s="6" t="s">
        <v>46</v>
      </c>
      <c r="B13" s="6" t="s">
        <v>42</v>
      </c>
      <c r="C13" s="6" t="s">
        <v>125</v>
      </c>
      <c r="D13" s="6" t="s">
        <v>131</v>
      </c>
    </row>
    <row r="14" customFormat="false" ht="15" hidden="false" customHeight="false" outlineLevel="0" collapsed="false">
      <c r="A14" s="6" t="s">
        <v>47</v>
      </c>
      <c r="B14" s="6" t="s">
        <v>48</v>
      </c>
      <c r="C14" s="6" t="s">
        <v>121</v>
      </c>
      <c r="D14" s="6" t="s">
        <v>131</v>
      </c>
    </row>
    <row r="15" customFormat="false" ht="15" hidden="false" customHeight="false" outlineLevel="0" collapsed="false">
      <c r="A15" s="6" t="s">
        <v>47</v>
      </c>
      <c r="B15" s="6" t="s">
        <v>48</v>
      </c>
      <c r="C15" s="6" t="s">
        <v>125</v>
      </c>
      <c r="D15" s="6" t="s">
        <v>131</v>
      </c>
    </row>
    <row r="16" customFormat="false" ht="15" hidden="false" customHeight="false" outlineLevel="0" collapsed="false">
      <c r="A16" s="6" t="s">
        <v>49</v>
      </c>
      <c r="B16" s="6" t="s">
        <v>50</v>
      </c>
      <c r="C16" s="6" t="s">
        <v>121</v>
      </c>
      <c r="D16" s="6" t="s">
        <v>131</v>
      </c>
    </row>
    <row r="17" customFormat="false" ht="15" hidden="false" customHeight="false" outlineLevel="0" collapsed="false">
      <c r="A17" s="6" t="s">
        <v>52</v>
      </c>
      <c r="B17" s="6" t="s">
        <v>39</v>
      </c>
      <c r="C17" s="6" t="s">
        <v>121</v>
      </c>
      <c r="D17" s="6" t="s">
        <v>131</v>
      </c>
    </row>
    <row r="18" customFormat="false" ht="15" hidden="false" customHeight="false" outlineLevel="0" collapsed="false">
      <c r="A18" s="6" t="s">
        <v>52</v>
      </c>
      <c r="B18" s="6" t="s">
        <v>39</v>
      </c>
      <c r="C18" s="6" t="s">
        <v>125</v>
      </c>
      <c r="D18" s="6" t="s">
        <v>131</v>
      </c>
    </row>
    <row r="19" customFormat="false" ht="15" hidden="false" customHeight="false" outlineLevel="0" collapsed="false">
      <c r="A19" s="6" t="s">
        <v>53</v>
      </c>
      <c r="B19" s="6" t="s">
        <v>34</v>
      </c>
      <c r="C19" s="6" t="s">
        <v>121</v>
      </c>
      <c r="D19" s="6" t="s">
        <v>131</v>
      </c>
    </row>
    <row r="20" customFormat="false" ht="15" hidden="false" customHeight="false" outlineLevel="0" collapsed="false">
      <c r="A20" s="6" t="s">
        <v>53</v>
      </c>
      <c r="B20" s="6" t="s">
        <v>34</v>
      </c>
      <c r="C20" s="6" t="s">
        <v>125</v>
      </c>
      <c r="D20" s="6" t="s">
        <v>131</v>
      </c>
    </row>
    <row r="21" customFormat="false" ht="15" hidden="false" customHeight="false" outlineLevel="0" collapsed="false">
      <c r="A21" s="6" t="s">
        <v>54</v>
      </c>
      <c r="B21" s="6" t="s">
        <v>48</v>
      </c>
      <c r="C21" s="6" t="s">
        <v>121</v>
      </c>
      <c r="D21" s="6" t="s">
        <v>131</v>
      </c>
    </row>
    <row r="22" customFormat="false" ht="15" hidden="false" customHeight="false" outlineLevel="0" collapsed="false">
      <c r="A22" s="6" t="s">
        <v>54</v>
      </c>
      <c r="B22" s="6" t="s">
        <v>48</v>
      </c>
      <c r="C22" s="6" t="s">
        <v>125</v>
      </c>
      <c r="D22" s="6" t="s">
        <v>131</v>
      </c>
    </row>
    <row r="23" customFormat="false" ht="15" hidden="false" customHeight="false" outlineLevel="0" collapsed="false">
      <c r="A23" s="6" t="s">
        <v>55</v>
      </c>
      <c r="B23" s="6" t="s">
        <v>42</v>
      </c>
      <c r="C23" s="6" t="s">
        <v>121</v>
      </c>
      <c r="D23" s="6" t="s">
        <v>131</v>
      </c>
    </row>
    <row r="24" customFormat="false" ht="15" hidden="false" customHeight="false" outlineLevel="0" collapsed="false">
      <c r="A24" s="6" t="s">
        <v>55</v>
      </c>
      <c r="B24" s="6" t="s">
        <v>42</v>
      </c>
      <c r="C24" s="6" t="s">
        <v>125</v>
      </c>
      <c r="D24" s="6" t="s">
        <v>131</v>
      </c>
    </row>
    <row r="25" customFormat="false" ht="15" hidden="false" customHeight="false" outlineLevel="0" collapsed="false">
      <c r="A25" s="6" t="s">
        <v>56</v>
      </c>
      <c r="B25" s="6" t="s">
        <v>27</v>
      </c>
      <c r="C25" s="6" t="s">
        <v>125</v>
      </c>
      <c r="D25" s="6" t="s">
        <v>130</v>
      </c>
    </row>
    <row r="26" customFormat="false" ht="15" hidden="false" customHeight="false" outlineLevel="0" collapsed="false">
      <c r="A26" s="6" t="s">
        <v>57</v>
      </c>
      <c r="B26" s="6" t="s">
        <v>39</v>
      </c>
      <c r="C26" s="6" t="s">
        <v>121</v>
      </c>
      <c r="D26" s="6" t="s">
        <v>131</v>
      </c>
    </row>
    <row r="27" customFormat="false" ht="15" hidden="false" customHeight="false" outlineLevel="0" collapsed="false">
      <c r="A27" s="6" t="s">
        <v>57</v>
      </c>
      <c r="B27" s="6" t="s">
        <v>39</v>
      </c>
      <c r="C27" s="6" t="s">
        <v>125</v>
      </c>
      <c r="D27" s="6" t="s">
        <v>131</v>
      </c>
    </row>
    <row r="28" customFormat="false" ht="15" hidden="false" customHeight="false" outlineLevel="0" collapsed="false">
      <c r="A28" s="6" t="s">
        <v>58</v>
      </c>
      <c r="B28" s="6" t="s">
        <v>42</v>
      </c>
      <c r="C28" s="6" t="s">
        <v>125</v>
      </c>
      <c r="D28" s="6" t="s">
        <v>131</v>
      </c>
    </row>
    <row r="29" customFormat="false" ht="15" hidden="false" customHeight="false" outlineLevel="0" collapsed="false">
      <c r="A29" s="6" t="s">
        <v>60</v>
      </c>
      <c r="B29" s="6" t="s">
        <v>61</v>
      </c>
      <c r="C29" s="6" t="s">
        <v>125</v>
      </c>
      <c r="D29" s="6" t="s">
        <v>130</v>
      </c>
    </row>
    <row r="30" customFormat="false" ht="15" hidden="false" customHeight="false" outlineLevel="0" collapsed="false">
      <c r="A30" s="6" t="s">
        <v>63</v>
      </c>
      <c r="B30" s="6" t="s">
        <v>50</v>
      </c>
      <c r="C30" s="6" t="s">
        <v>121</v>
      </c>
      <c r="D30" s="6" t="s">
        <v>131</v>
      </c>
    </row>
    <row r="31" customFormat="false" ht="15" hidden="false" customHeight="false" outlineLevel="0" collapsed="false">
      <c r="A31" s="6" t="s">
        <v>65</v>
      </c>
      <c r="B31" s="6" t="s">
        <v>42</v>
      </c>
      <c r="C31" s="6" t="s">
        <v>121</v>
      </c>
      <c r="D31" s="6" t="s">
        <v>131</v>
      </c>
    </row>
    <row r="32" customFormat="false" ht="15" hidden="false" customHeight="false" outlineLevel="0" collapsed="false">
      <c r="A32" s="6" t="s">
        <v>68</v>
      </c>
      <c r="B32" s="6" t="s">
        <v>50</v>
      </c>
      <c r="C32" s="6" t="s">
        <v>121</v>
      </c>
      <c r="D32" s="6" t="s">
        <v>131</v>
      </c>
    </row>
    <row r="33" customFormat="false" ht="15" hidden="false" customHeight="false" outlineLevel="0" collapsed="false">
      <c r="A33" s="6" t="s">
        <v>69</v>
      </c>
      <c r="B33" s="6" t="s">
        <v>42</v>
      </c>
      <c r="C33" s="6" t="s">
        <v>121</v>
      </c>
      <c r="D33" s="6" t="s">
        <v>131</v>
      </c>
    </row>
    <row r="34" customFormat="false" ht="15" hidden="false" customHeight="false" outlineLevel="0" collapsed="false">
      <c r="A34" s="6" t="s">
        <v>71</v>
      </c>
      <c r="B34" s="6" t="s">
        <v>39</v>
      </c>
      <c r="C34" s="6" t="s">
        <v>121</v>
      </c>
      <c r="D34" s="6" t="s">
        <v>131</v>
      </c>
    </row>
    <row r="35" customFormat="false" ht="15" hidden="false" customHeight="false" outlineLevel="0" collapsed="false">
      <c r="A35" s="6" t="s">
        <v>71</v>
      </c>
      <c r="B35" s="6" t="s">
        <v>39</v>
      </c>
      <c r="C35" s="6" t="s">
        <v>125</v>
      </c>
      <c r="D35" s="6" t="s">
        <v>131</v>
      </c>
    </row>
    <row r="36" customFormat="false" ht="15" hidden="false" customHeight="false" outlineLevel="0" collapsed="false">
      <c r="A36" s="6" t="s">
        <v>73</v>
      </c>
      <c r="B36" s="6" t="s">
        <v>27</v>
      </c>
      <c r="C36" s="6" t="s">
        <v>125</v>
      </c>
      <c r="D36" s="6" t="s">
        <v>130</v>
      </c>
    </row>
    <row r="37" customFormat="false" ht="15" hidden="false" customHeight="false" outlineLevel="0" collapsed="false">
      <c r="A37" s="6" t="s">
        <v>76</v>
      </c>
      <c r="B37" s="6" t="s">
        <v>27</v>
      </c>
      <c r="C37" s="6" t="s">
        <v>125</v>
      </c>
      <c r="D37" s="6" t="s">
        <v>130</v>
      </c>
    </row>
    <row r="38" customFormat="false" ht="15" hidden="false" customHeight="false" outlineLevel="0" collapsed="false">
      <c r="A38" s="6" t="s">
        <v>77</v>
      </c>
      <c r="B38" s="6" t="s">
        <v>42</v>
      </c>
      <c r="C38" s="6" t="s">
        <v>121</v>
      </c>
      <c r="D38" s="6" t="s">
        <v>131</v>
      </c>
    </row>
    <row r="39" customFormat="false" ht="15" hidden="false" customHeight="false" outlineLevel="0" collapsed="false">
      <c r="A39" s="6" t="s">
        <v>79</v>
      </c>
      <c r="B39" s="6" t="s">
        <v>80</v>
      </c>
      <c r="C39" s="6" t="s">
        <v>121</v>
      </c>
      <c r="D39" s="6" t="s">
        <v>130</v>
      </c>
    </row>
    <row r="40" customFormat="false" ht="15" hidden="false" customHeight="false" outlineLevel="0" collapsed="false">
      <c r="A40" s="6" t="s">
        <v>82</v>
      </c>
      <c r="B40" s="6" t="s">
        <v>50</v>
      </c>
      <c r="C40" s="6" t="s">
        <v>121</v>
      </c>
      <c r="D40" s="6" t="s">
        <v>131</v>
      </c>
    </row>
    <row r="41" customFormat="false" ht="15" hidden="false" customHeight="false" outlineLevel="0" collapsed="false">
      <c r="A41" s="6" t="s">
        <v>86</v>
      </c>
      <c r="B41" s="6" t="s">
        <v>48</v>
      </c>
      <c r="C41" s="6" t="s">
        <v>121</v>
      </c>
      <c r="D41" s="6" t="s">
        <v>131</v>
      </c>
    </row>
    <row r="42" customFormat="false" ht="15" hidden="false" customHeight="false" outlineLevel="0" collapsed="false">
      <c r="A42" s="6" t="s">
        <v>86</v>
      </c>
      <c r="B42" s="6" t="s">
        <v>48</v>
      </c>
      <c r="C42" s="6" t="s">
        <v>125</v>
      </c>
      <c r="D42" s="6" t="s">
        <v>131</v>
      </c>
    </row>
    <row r="43" customFormat="false" ht="15" hidden="false" customHeight="false" outlineLevel="0" collapsed="false">
      <c r="A43" s="6" t="s">
        <v>88</v>
      </c>
      <c r="B43" s="6" t="s">
        <v>89</v>
      </c>
      <c r="C43" s="6" t="s">
        <v>121</v>
      </c>
      <c r="D43" s="6" t="s">
        <v>130</v>
      </c>
    </row>
    <row r="44" customFormat="false" ht="15" hidden="false" customHeight="false" outlineLevel="0" collapsed="false">
      <c r="A44" s="6" t="s">
        <v>88</v>
      </c>
      <c r="B44" s="6" t="s">
        <v>89</v>
      </c>
      <c r="C44" s="6" t="s">
        <v>125</v>
      </c>
      <c r="D44" s="6" t="s">
        <v>130</v>
      </c>
    </row>
    <row r="45" customFormat="false" ht="15" hidden="false" customHeight="false" outlineLevel="0" collapsed="false">
      <c r="A45" s="6" t="s">
        <v>92</v>
      </c>
      <c r="B45" s="6" t="s">
        <v>61</v>
      </c>
      <c r="C45" s="6" t="s">
        <v>125</v>
      </c>
      <c r="D45" s="6" t="s">
        <v>130</v>
      </c>
    </row>
    <row r="46" customFormat="false" ht="15" hidden="false" customHeight="false" outlineLevel="0" collapsed="false">
      <c r="A46" s="6" t="s">
        <v>93</v>
      </c>
      <c r="B46" s="6" t="s">
        <v>42</v>
      </c>
      <c r="C46" s="6" t="s">
        <v>125</v>
      </c>
      <c r="D46" s="6" t="s">
        <v>131</v>
      </c>
    </row>
    <row r="47" customFormat="false" ht="15" hidden="false" customHeight="false" outlineLevel="0" collapsed="false">
      <c r="A47" s="6" t="s">
        <v>100</v>
      </c>
      <c r="B47" s="6" t="s">
        <v>61</v>
      </c>
      <c r="C47" s="6" t="s">
        <v>125</v>
      </c>
      <c r="D47" s="6" t="s">
        <v>130</v>
      </c>
    </row>
    <row r="48" customFormat="false" ht="15" hidden="false" customHeight="false" outlineLevel="0" collapsed="false">
      <c r="A48" s="6" t="s">
        <v>102</v>
      </c>
      <c r="B48" s="6" t="s">
        <v>44</v>
      </c>
      <c r="C48" s="6" t="s">
        <v>121</v>
      </c>
      <c r="D48" s="6" t="s">
        <v>130</v>
      </c>
    </row>
    <row r="49" customFormat="false" ht="15" hidden="false" customHeight="false" outlineLevel="0" collapsed="false">
      <c r="A49" s="6" t="s">
        <v>102</v>
      </c>
      <c r="B49" s="6" t="s">
        <v>44</v>
      </c>
      <c r="C49" s="6" t="s">
        <v>125</v>
      </c>
      <c r="D49" s="6" t="s">
        <v>130</v>
      </c>
    </row>
    <row r="50" customFormat="false" ht="15" hidden="false" customHeight="false" outlineLevel="0" collapsed="false">
      <c r="A50" s="6" t="s">
        <v>102</v>
      </c>
      <c r="B50" s="6" t="s">
        <v>44</v>
      </c>
      <c r="C50" s="6" t="s">
        <v>127</v>
      </c>
      <c r="D50" s="6" t="s">
        <v>130</v>
      </c>
    </row>
    <row r="51" customFormat="false" ht="15" hidden="false" customHeight="false" outlineLevel="0" collapsed="false">
      <c r="A51" s="6" t="s">
        <v>105</v>
      </c>
      <c r="B51" s="6" t="s">
        <v>39</v>
      </c>
      <c r="C51" s="6" t="s">
        <v>121</v>
      </c>
      <c r="D51" s="6" t="s">
        <v>131</v>
      </c>
    </row>
    <row r="52" customFormat="false" ht="15" hidden="false" customHeight="false" outlineLevel="0" collapsed="false">
      <c r="A52" s="6" t="s">
        <v>105</v>
      </c>
      <c r="B52" s="6" t="s">
        <v>39</v>
      </c>
      <c r="C52" s="6" t="s">
        <v>125</v>
      </c>
      <c r="D52" s="6" t="s">
        <v>131</v>
      </c>
    </row>
    <row r="53" customFormat="false" ht="15" hidden="false" customHeight="false" outlineLevel="0" collapsed="false">
      <c r="A53" s="6" t="s">
        <v>106</v>
      </c>
      <c r="B53" s="6" t="s">
        <v>48</v>
      </c>
      <c r="C53" s="6" t="s">
        <v>121</v>
      </c>
      <c r="D53" s="6" t="s">
        <v>131</v>
      </c>
    </row>
    <row r="54" customFormat="false" ht="15" hidden="false" customHeight="false" outlineLevel="0" collapsed="false">
      <c r="A54" s="6" t="s">
        <v>106</v>
      </c>
      <c r="B54" s="6" t="s">
        <v>48</v>
      </c>
      <c r="C54" s="6" t="s">
        <v>125</v>
      </c>
      <c r="D54" s="6" t="s">
        <v>131</v>
      </c>
    </row>
    <row r="55" customFormat="false" ht="15" hidden="false" customHeight="false" outlineLevel="0" collapsed="false">
      <c r="A55" s="6" t="s">
        <v>107</v>
      </c>
      <c r="B55" s="6" t="s">
        <v>27</v>
      </c>
      <c r="C55" s="6" t="s">
        <v>125</v>
      </c>
      <c r="D55" s="6" t="s">
        <v>130</v>
      </c>
    </row>
    <row r="56" customFormat="false" ht="15" hidden="false" customHeight="false" outlineLevel="0" collapsed="false">
      <c r="A56" s="6" t="s">
        <v>108</v>
      </c>
      <c r="B56" s="6" t="s">
        <v>34</v>
      </c>
      <c r="C56" s="6" t="s">
        <v>121</v>
      </c>
      <c r="D56" s="6" t="s">
        <v>131</v>
      </c>
    </row>
    <row r="57" customFormat="false" ht="15" hidden="false" customHeight="false" outlineLevel="0" collapsed="false">
      <c r="A57" s="6" t="s">
        <v>108</v>
      </c>
      <c r="B57" s="6" t="s">
        <v>34</v>
      </c>
      <c r="C57" s="6" t="s">
        <v>125</v>
      </c>
      <c r="D57" s="6" t="s">
        <v>131</v>
      </c>
    </row>
    <row r="58" customFormat="false" ht="15" hidden="false" customHeight="false" outlineLevel="0" collapsed="false">
      <c r="A58" s="6" t="s">
        <v>109</v>
      </c>
      <c r="B58" s="6" t="s">
        <v>42</v>
      </c>
      <c r="C58" s="6" t="s">
        <v>121</v>
      </c>
      <c r="D58" s="6" t="s">
        <v>131</v>
      </c>
    </row>
    <row r="59" customFormat="false" ht="15" hidden="false" customHeight="false" outlineLevel="0" collapsed="false">
      <c r="A59" s="6" t="s">
        <v>109</v>
      </c>
      <c r="B59" s="6" t="s">
        <v>42</v>
      </c>
      <c r="C59" s="6" t="s">
        <v>125</v>
      </c>
      <c r="D59" s="6" t="s">
        <v>131</v>
      </c>
    </row>
    <row r="60" customFormat="false" ht="15" hidden="false" customHeight="false" outlineLevel="0" collapsed="false">
      <c r="A60" s="6" t="s">
        <v>110</v>
      </c>
      <c r="B60" s="6" t="s">
        <v>50</v>
      </c>
      <c r="C60" s="6" t="s">
        <v>121</v>
      </c>
      <c r="D60" s="6" t="s">
        <v>131</v>
      </c>
    </row>
    <row r="61" customFormat="false" ht="15" hidden="false" customHeight="false" outlineLevel="0" collapsed="false">
      <c r="A61" s="6" t="s">
        <v>111</v>
      </c>
      <c r="B61" s="6" t="s">
        <v>42</v>
      </c>
      <c r="C61" s="6" t="s">
        <v>125</v>
      </c>
      <c r="D61" s="6" t="s">
        <v>131</v>
      </c>
    </row>
  </sheetData>
  <autoFilter ref="A1:D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2026-10-26T11:59:42Z</dcterms:created>
  <dc:creator>openpyxl</dc:creator>
  <dc:description/>
  <dc:language>en-US</dc:language>
  <cp:lastModifiedBy/>
  <dcterms:modified xsi:type="dcterms:W3CDTF">2026-10-26T11:59:42Z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